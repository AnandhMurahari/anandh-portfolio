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Raw Data\"/>
    </mc:Choice>
  </mc:AlternateContent>
  <xr:revisionPtr revIDLastSave="0" documentId="13_ncr:1_{4A6C3D01-85E5-48F9-80C1-FBB9323612C0}" xr6:coauthVersionLast="47" xr6:coauthVersionMax="47" xr10:uidLastSave="{00000000-0000-0000-0000-000000000000}"/>
  <bookViews>
    <workbookView xWindow="-108" yWindow="-108" windowWidth="23256" windowHeight="12456" firstSheet="1" activeTab="2" xr2:uid="{BCE64C4F-A7B2-411A-A9BF-D7BB2C6F11BB}"/>
  </bookViews>
  <sheets>
    <sheet name="working1" sheetId="2" state="hidden" r:id="rId1"/>
    <sheet name="Data" sheetId="1" r:id="rId2"/>
    <sheet name="dashboard" sheetId="3" r:id="rId3"/>
    <sheet name="working2" sheetId="4" state="hidden" r:id="rId4"/>
    <sheet name="working3" sheetId="5" state="hidden" r:id="rId5"/>
    <sheet name="Sheet5" sheetId="6" state="hidden" r:id="rId6"/>
  </sheets>
  <definedNames>
    <definedName name="Slicer_Country">#N/A</definedName>
    <definedName name="Slicer_Customer_Satisfaction">#N/A</definedName>
    <definedName name="Slicer_Region">#N/A</definedName>
  </definedNames>
  <calcPr calcId="191029" concurrentCalc="0"/>
  <pivotCaches>
    <pivotCache cacheId="1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<sst xmlns="http://schemas.openxmlformats.org/spreadsheetml/2006/main" count="233" uniqueCount="37">
  <si>
    <t>Date</t>
  </si>
  <si>
    <t>Region</t>
  </si>
  <si>
    <t>Sales</t>
  </si>
  <si>
    <t>Profit</t>
  </si>
  <si>
    <t>Target Sales</t>
  </si>
  <si>
    <t>No of Customers</t>
  </si>
  <si>
    <t>Sales Completion Rate</t>
  </si>
  <si>
    <t>Profit Completion Rate</t>
  </si>
  <si>
    <t>Customer Completion Rate</t>
  </si>
  <si>
    <t>Country</t>
  </si>
  <si>
    <t>Customer Satisfaction</t>
  </si>
  <si>
    <t>Score</t>
  </si>
  <si>
    <t>East</t>
  </si>
  <si>
    <t>Argentina</t>
  </si>
  <si>
    <t>Speed</t>
  </si>
  <si>
    <t>West</t>
  </si>
  <si>
    <t>Colombia</t>
  </si>
  <si>
    <t>Quality</t>
  </si>
  <si>
    <t>South</t>
  </si>
  <si>
    <t>Brazil</t>
  </si>
  <si>
    <t>Hygiene</t>
  </si>
  <si>
    <t>Ecuador</t>
  </si>
  <si>
    <t>Peru</t>
  </si>
  <si>
    <t>Service</t>
  </si>
  <si>
    <t>North</t>
  </si>
  <si>
    <t>Availability</t>
  </si>
  <si>
    <t>Row Labels</t>
  </si>
  <si>
    <t>Grand Total</t>
  </si>
  <si>
    <t>Sum of Sales</t>
  </si>
  <si>
    <t>Sum of Profit</t>
  </si>
  <si>
    <t>Qtr1</t>
  </si>
  <si>
    <t>Qtr2</t>
  </si>
  <si>
    <t>Qtr3</t>
  </si>
  <si>
    <t>Qtr4</t>
  </si>
  <si>
    <t>2023</t>
  </si>
  <si>
    <t>Sum of No of Customers</t>
  </si>
  <si>
    <t>Sum of Customer Completion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</si>
</sst>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Profit &amp; Customer Metrics.xlsx]Sheet5!PivotTable4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satisfaction</a:t>
            </a:r>
          </a:p>
        </c:rich>
      </c:tx>
      <c:layout>
        <c:manualLayout>
          <c:xMode val="edge"/>
          <c:yMode val="edge"/>
          <c:x val="0.42927777777777781"/>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s>
    <c:plotArea>
      <c:layout>
        <c:manualLayout>
          <c:layoutTarget val="inner"/>
          <c:xMode val="edge"/>
          <c:yMode val="edge"/>
          <c:x val="0.1393180227471566"/>
          <c:y val="0.14249781277340332"/>
          <c:w val="0.42900262467191602"/>
          <c:h val="0.71500437445319331"/>
        </c:manualLayout>
      </c:layout>
      <c:doughnut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DA-4084-8B0A-ED7ACD0EC2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DA-4084-8B0A-ED7ACD0EC2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3DA-4084-8B0A-ED7ACD0EC2B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3DA-4084-8B0A-ED7ACD0EC2B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3DA-4084-8B0A-ED7ACD0EC2BF}"/>
              </c:ext>
            </c:extLst>
          </c:dPt>
          <c:cat>
            <c:strRef>
              <c:f>Sheet5!$A$4:$A$9</c:f>
              <c:strCache>
                <c:ptCount val="5"/>
                <c:pt idx="0">
                  <c:v>Availability</c:v>
                </c:pt>
                <c:pt idx="1">
                  <c:v>Hygiene</c:v>
                </c:pt>
                <c:pt idx="2">
                  <c:v>Quality</c:v>
                </c:pt>
                <c:pt idx="3">
                  <c:v>Service</c:v>
                </c:pt>
                <c:pt idx="4">
                  <c:v>Speed</c:v>
                </c:pt>
              </c:strCache>
            </c:strRef>
          </c:cat>
          <c:val>
            <c:numRef>
              <c:f>Sheet5!$B$4:$B$9</c:f>
              <c:numCache>
                <c:formatCode>General</c:formatCode>
                <c:ptCount val="5"/>
                <c:pt idx="0">
                  <c:v>8.42</c:v>
                </c:pt>
                <c:pt idx="1">
                  <c:v>9.4</c:v>
                </c:pt>
                <c:pt idx="2">
                  <c:v>11</c:v>
                </c:pt>
                <c:pt idx="3">
                  <c:v>9.48</c:v>
                </c:pt>
                <c:pt idx="4">
                  <c:v>14.920000000000002</c:v>
                </c:pt>
              </c:numCache>
            </c:numRef>
          </c:val>
          <c:extLst>
            <c:ext xmlns:c16="http://schemas.microsoft.com/office/drawing/2014/chart" uri="{C3380CC4-5D6E-409C-BE32-E72D297353CC}">
              <c16:uniqueId val="{0000000A-13DA-4084-8B0A-ED7ACD0EC2B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Profit &amp; Customer Metrics.xlsx]working1!PivotTable1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working1!$B$3</c:f>
              <c:strCache>
                <c:ptCount val="1"/>
                <c:pt idx="0">
                  <c:v>Total</c:v>
                </c:pt>
              </c:strCache>
            </c:strRef>
          </c:tx>
          <c:spPr>
            <a:solidFill>
              <a:schemeClr val="accent1"/>
            </a:solidFill>
            <a:ln>
              <a:noFill/>
            </a:ln>
            <a:effectLst/>
          </c:spPr>
          <c:invertIfNegative val="0"/>
          <c:cat>
            <c:strRef>
              <c:f>working1!$A$4:$A$8</c:f>
              <c:strCache>
                <c:ptCount val="4"/>
                <c:pt idx="0">
                  <c:v>East</c:v>
                </c:pt>
                <c:pt idx="1">
                  <c:v>North</c:v>
                </c:pt>
                <c:pt idx="2">
                  <c:v>South</c:v>
                </c:pt>
                <c:pt idx="3">
                  <c:v>West</c:v>
                </c:pt>
              </c:strCache>
            </c:strRef>
          </c:cat>
          <c:val>
            <c:numRef>
              <c:f>working1!$B$4:$B$8</c:f>
              <c:numCache>
                <c:formatCode>General</c:formatCode>
                <c:ptCount val="4"/>
                <c:pt idx="0">
                  <c:v>50045</c:v>
                </c:pt>
                <c:pt idx="1">
                  <c:v>22921</c:v>
                </c:pt>
                <c:pt idx="2">
                  <c:v>46112</c:v>
                </c:pt>
                <c:pt idx="3">
                  <c:v>38283</c:v>
                </c:pt>
              </c:numCache>
            </c:numRef>
          </c:val>
          <c:extLst>
            <c:ext xmlns:c16="http://schemas.microsoft.com/office/drawing/2014/chart" uri="{C3380CC4-5D6E-409C-BE32-E72D297353CC}">
              <c16:uniqueId val="{00000000-38F1-4FFD-8FD5-645BF3F2A452}"/>
            </c:ext>
          </c:extLst>
        </c:ser>
        <c:dLbls>
          <c:showLegendKey val="0"/>
          <c:showVal val="0"/>
          <c:showCatName val="0"/>
          <c:showSerName val="0"/>
          <c:showPercent val="0"/>
          <c:showBubbleSize val="0"/>
        </c:dLbls>
        <c:gapWidth val="219"/>
        <c:overlap val="-27"/>
        <c:axId val="492962272"/>
        <c:axId val="492971872"/>
      </c:barChart>
      <c:catAx>
        <c:axId val="49296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971872"/>
        <c:crosses val="autoZero"/>
        <c:auto val="1"/>
        <c:lblAlgn val="ctr"/>
        <c:lblOffset val="100"/>
        <c:noMultiLvlLbl val="0"/>
      </c:catAx>
      <c:valAx>
        <c:axId val="492971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96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Profit &amp; Customer Metrics.xlsx]working2!PivotTable2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qty/yrly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working2!$B$3</c:f>
              <c:strCache>
                <c:ptCount val="1"/>
                <c:pt idx="0">
                  <c:v>Total</c:v>
                </c:pt>
              </c:strCache>
            </c:strRef>
          </c:tx>
          <c:spPr>
            <a:solidFill>
              <a:schemeClr val="accent1"/>
            </a:solidFill>
            <a:ln>
              <a:noFill/>
            </a:ln>
            <a:effectLst/>
          </c:spPr>
          <c:invertIfNegative val="0"/>
          <c:cat>
            <c:multiLvlStrRef>
              <c:f>working2!$A$4:$A$9</c:f>
              <c:multiLvlStrCache>
                <c:ptCount val="4"/>
                <c:lvl>
                  <c:pt idx="0">
                    <c:v>Qtr1</c:v>
                  </c:pt>
                  <c:pt idx="1">
                    <c:v>Qtr2</c:v>
                  </c:pt>
                  <c:pt idx="2">
                    <c:v>Qtr3</c:v>
                  </c:pt>
                  <c:pt idx="3">
                    <c:v>Qtr4</c:v>
                  </c:pt>
                </c:lvl>
                <c:lvl>
                  <c:pt idx="0">
                    <c:v>2023</c:v>
                  </c:pt>
                </c:lvl>
              </c:multiLvlStrCache>
            </c:multiLvlStrRef>
          </c:cat>
          <c:val>
            <c:numRef>
              <c:f>working2!$B$4:$B$9</c:f>
              <c:numCache>
                <c:formatCode>General</c:formatCode>
                <c:ptCount val="4"/>
                <c:pt idx="0">
                  <c:v>28000.000000000007</c:v>
                </c:pt>
                <c:pt idx="1">
                  <c:v>27242.857142857152</c:v>
                </c:pt>
                <c:pt idx="2">
                  <c:v>23242.857142857134</c:v>
                </c:pt>
                <c:pt idx="3">
                  <c:v>34815.142857142877</c:v>
                </c:pt>
              </c:numCache>
            </c:numRef>
          </c:val>
          <c:extLst>
            <c:ext xmlns:c16="http://schemas.microsoft.com/office/drawing/2014/chart" uri="{C3380CC4-5D6E-409C-BE32-E72D297353CC}">
              <c16:uniqueId val="{00000000-6792-42EC-B052-8FD47E69EA31}"/>
            </c:ext>
          </c:extLst>
        </c:ser>
        <c:dLbls>
          <c:showLegendKey val="0"/>
          <c:showVal val="0"/>
          <c:showCatName val="0"/>
          <c:showSerName val="0"/>
          <c:showPercent val="0"/>
          <c:showBubbleSize val="0"/>
        </c:dLbls>
        <c:gapWidth val="182"/>
        <c:axId val="492961792"/>
        <c:axId val="492978592"/>
      </c:barChart>
      <c:catAx>
        <c:axId val="492961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978592"/>
        <c:crosses val="autoZero"/>
        <c:auto val="1"/>
        <c:lblAlgn val="ctr"/>
        <c:lblOffset val="100"/>
        <c:noMultiLvlLbl val="0"/>
      </c:catAx>
      <c:valAx>
        <c:axId val="492978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961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Profit &amp; Customer Metrics.xlsx]working3!PivotTable3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s>
    <c:plotArea>
      <c:layout/>
      <c:pieChart>
        <c:varyColors val="1"/>
        <c:ser>
          <c:idx val="0"/>
          <c:order val="0"/>
          <c:tx>
            <c:strRef>
              <c:f>working3!$B$3</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EE-468C-A3BF-6BAB30B5ED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EE-468C-A3BF-6BAB30B5ED9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EE-468C-A3BF-6BAB30B5ED9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CEE-468C-A3BF-6BAB30B5ED9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CEE-468C-A3BF-6BAB30B5ED9D}"/>
              </c:ext>
            </c:extLst>
          </c:dPt>
          <c:cat>
            <c:strRef>
              <c:f>working3!$A$4:$A$9</c:f>
              <c:strCache>
                <c:ptCount val="5"/>
                <c:pt idx="0">
                  <c:v>Argentina</c:v>
                </c:pt>
                <c:pt idx="1">
                  <c:v>Brazil</c:v>
                </c:pt>
                <c:pt idx="2">
                  <c:v>Colombia</c:v>
                </c:pt>
                <c:pt idx="3">
                  <c:v>Ecuador</c:v>
                </c:pt>
                <c:pt idx="4">
                  <c:v>Peru</c:v>
                </c:pt>
              </c:strCache>
            </c:strRef>
          </c:cat>
          <c:val>
            <c:numRef>
              <c:f>working3!$B$4:$B$9</c:f>
              <c:numCache>
                <c:formatCode>General</c:formatCode>
                <c:ptCount val="5"/>
                <c:pt idx="0">
                  <c:v>30381</c:v>
                </c:pt>
                <c:pt idx="1">
                  <c:v>63874</c:v>
                </c:pt>
                <c:pt idx="2">
                  <c:v>25744</c:v>
                </c:pt>
                <c:pt idx="3">
                  <c:v>23719</c:v>
                </c:pt>
                <c:pt idx="4">
                  <c:v>13643</c:v>
                </c:pt>
              </c:numCache>
            </c:numRef>
          </c:val>
          <c:extLst>
            <c:ext xmlns:c16="http://schemas.microsoft.com/office/drawing/2014/chart" uri="{C3380CC4-5D6E-409C-BE32-E72D297353CC}">
              <c16:uniqueId val="{0000000A-6CEE-468C-A3BF-6BAB30B5ED9D}"/>
            </c:ext>
          </c:extLst>
        </c:ser>
        <c:ser>
          <c:idx val="1"/>
          <c:order val="1"/>
          <c:tx>
            <c:strRef>
              <c:f>working3!$C$3</c:f>
              <c:strCache>
                <c:ptCount val="1"/>
                <c:pt idx="0">
                  <c:v>Sum of No of Customers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6CEE-468C-A3BF-6BAB30B5ED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6CEE-468C-A3BF-6BAB30B5ED9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6CEE-468C-A3BF-6BAB30B5ED9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6CEE-468C-A3BF-6BAB30B5ED9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6CEE-468C-A3BF-6BAB30B5ED9D}"/>
              </c:ext>
            </c:extLst>
          </c:dPt>
          <c:cat>
            <c:strRef>
              <c:f>working3!$A$4:$A$9</c:f>
              <c:strCache>
                <c:ptCount val="5"/>
                <c:pt idx="0">
                  <c:v>Argentina</c:v>
                </c:pt>
                <c:pt idx="1">
                  <c:v>Brazil</c:v>
                </c:pt>
                <c:pt idx="2">
                  <c:v>Colombia</c:v>
                </c:pt>
                <c:pt idx="3">
                  <c:v>Ecuador</c:v>
                </c:pt>
                <c:pt idx="4">
                  <c:v>Peru</c:v>
                </c:pt>
              </c:strCache>
            </c:strRef>
          </c:cat>
          <c:val>
            <c:numRef>
              <c:f>working3!$C$4:$C$9</c:f>
              <c:numCache>
                <c:formatCode>General</c:formatCode>
                <c:ptCount val="5"/>
                <c:pt idx="0">
                  <c:v>1626</c:v>
                </c:pt>
                <c:pt idx="1">
                  <c:v>3723</c:v>
                </c:pt>
                <c:pt idx="2">
                  <c:v>1335</c:v>
                </c:pt>
                <c:pt idx="3">
                  <c:v>1845</c:v>
                </c:pt>
                <c:pt idx="4">
                  <c:v>831</c:v>
                </c:pt>
              </c:numCache>
            </c:numRef>
          </c:val>
          <c:extLst>
            <c:ext xmlns:c16="http://schemas.microsoft.com/office/drawing/2014/chart" uri="{C3380CC4-5D6E-409C-BE32-E72D297353CC}">
              <c16:uniqueId val="{00000015-6CEE-468C-A3BF-6BAB30B5ED9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53340</xdr:colOff>
      <xdr:row>0</xdr:row>
      <xdr:rowOff>30480</xdr:rowOff>
    </xdr:from>
    <xdr:to>
      <xdr:col>18</xdr:col>
      <xdr:colOff>121920</xdr:colOff>
      <xdr:row>28</xdr:row>
      <xdr:rowOff>68580</xdr:rowOff>
    </xdr:to>
    <xdr:sp macro="" textlink="">
      <xdr:nvSpPr>
        <xdr:cNvPr id="16" name="Rectangle 15">
          <a:extLst>
            <a:ext uri="{FF2B5EF4-FFF2-40B4-BE49-F238E27FC236}">
              <a16:creationId xmlns:a16="http://schemas.microsoft.com/office/drawing/2014/main" id="{4F583A88-637C-F8B8-EAA3-9594C236732D}"/>
            </a:ext>
          </a:extLst>
        </xdr:cNvPr>
        <xdr:cNvSpPr/>
      </xdr:nvSpPr>
      <xdr:spPr>
        <a:xfrm>
          <a:off x="53340" y="30480"/>
          <a:ext cx="11041380" cy="515874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60960</xdr:colOff>
      <xdr:row>0</xdr:row>
      <xdr:rowOff>53340</xdr:rowOff>
    </xdr:from>
    <xdr:to>
      <xdr:col>12</xdr:col>
      <xdr:colOff>548640</xdr:colOff>
      <xdr:row>2</xdr:row>
      <xdr:rowOff>15240</xdr:rowOff>
    </xdr:to>
    <xdr:sp macro="" textlink="">
      <xdr:nvSpPr>
        <xdr:cNvPr id="17" name="Rectangle 16">
          <a:extLst>
            <a:ext uri="{FF2B5EF4-FFF2-40B4-BE49-F238E27FC236}">
              <a16:creationId xmlns:a16="http://schemas.microsoft.com/office/drawing/2014/main" id="{6CB0CBEF-E74D-4898-BB51-1814B74CB34F}"/>
            </a:ext>
          </a:extLst>
        </xdr:cNvPr>
        <xdr:cNvSpPr/>
      </xdr:nvSpPr>
      <xdr:spPr>
        <a:xfrm>
          <a:off x="3718560" y="53340"/>
          <a:ext cx="4145280" cy="327660"/>
        </a:xfrm>
        <a:prstGeom prst="rect">
          <a:avLst/>
        </a:prstGeom>
        <a:solidFill>
          <a:schemeClr val="accent5">
            <a:lumMod val="75000"/>
          </a:schemeClr>
        </a:solidFill>
        <a:ln>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sales report for</a:t>
          </a:r>
          <a:r>
            <a:rPr lang="en-IN" sz="1800" baseline="0"/>
            <a:t> customer satisfaction</a:t>
          </a:r>
          <a:endParaRPr lang="en-IN" sz="1800"/>
        </a:p>
      </xdr:txBody>
    </xdr:sp>
    <xdr:clientData/>
  </xdr:twoCellAnchor>
  <xdr:twoCellAnchor editAs="oneCell">
    <xdr:from>
      <xdr:col>0</xdr:col>
      <xdr:colOff>83820</xdr:colOff>
      <xdr:row>2</xdr:row>
      <xdr:rowOff>68580</xdr:rowOff>
    </xdr:from>
    <xdr:to>
      <xdr:col>3</xdr:col>
      <xdr:colOff>76200</xdr:colOff>
      <xdr:row>12</xdr:row>
      <xdr:rowOff>114300</xdr:rowOff>
    </xdr:to>
    <mc:AlternateContent xmlns:mc="http://schemas.openxmlformats.org/markup-compatibility/2006">
      <mc:Choice xmlns:a14="http://schemas.microsoft.com/office/drawing/2010/main" Requires="a14">
        <xdr:graphicFrame macro="">
          <xdr:nvGraphicFramePr>
            <xdr:cNvPr id="18" name="Region">
              <a:extLst>
                <a:ext uri="{FF2B5EF4-FFF2-40B4-BE49-F238E27FC236}">
                  <a16:creationId xmlns:a16="http://schemas.microsoft.com/office/drawing/2014/main" id="{E10249D2-7B01-4483-AE62-EB7A74DB555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3820" y="434340"/>
              <a:ext cx="1821180" cy="1874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14</xdr:row>
      <xdr:rowOff>30479</xdr:rowOff>
    </xdr:from>
    <xdr:to>
      <xdr:col>5</xdr:col>
      <xdr:colOff>480060</xdr:colOff>
      <xdr:row>28</xdr:row>
      <xdr:rowOff>51434</xdr:rowOff>
    </xdr:to>
    <mc:AlternateContent xmlns:mc="http://schemas.openxmlformats.org/markup-compatibility/2006">
      <mc:Choice xmlns:a14="http://schemas.microsoft.com/office/drawing/2010/main" Requires="a14">
        <xdr:graphicFrame macro="">
          <xdr:nvGraphicFramePr>
            <xdr:cNvPr id="19" name="Country">
              <a:extLst>
                <a:ext uri="{FF2B5EF4-FFF2-40B4-BE49-F238E27FC236}">
                  <a16:creationId xmlns:a16="http://schemas.microsoft.com/office/drawing/2014/main" id="{A3E11307-9D6F-41C4-9378-A4868961C00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5240" y="2590799"/>
              <a:ext cx="351282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83820</xdr:colOff>
      <xdr:row>2</xdr:row>
      <xdr:rowOff>91439</xdr:rowOff>
    </xdr:from>
    <xdr:to>
      <xdr:col>5</xdr:col>
      <xdr:colOff>403860</xdr:colOff>
      <xdr:row>12</xdr:row>
      <xdr:rowOff>76200</xdr:rowOff>
    </xdr:to>
    <mc:AlternateContent xmlns:mc="http://schemas.openxmlformats.org/markup-compatibility/2006">
      <mc:Choice xmlns:a14="http://schemas.microsoft.com/office/drawing/2010/main" Requires="a14">
        <xdr:graphicFrame macro="">
          <xdr:nvGraphicFramePr>
            <xdr:cNvPr id="20" name="Customer Satisfaction">
              <a:extLst>
                <a:ext uri="{FF2B5EF4-FFF2-40B4-BE49-F238E27FC236}">
                  <a16:creationId xmlns:a16="http://schemas.microsoft.com/office/drawing/2014/main" id="{9A870CB6-F721-49A9-81DA-3154F985A683}"/>
                </a:ext>
              </a:extLst>
            </xdr:cNvPr>
            <xdr:cNvGraphicFramePr/>
          </xdr:nvGraphicFramePr>
          <xdr:xfrm>
            <a:off x="0" y="0"/>
            <a:ext cx="0" cy="0"/>
          </xdr:xfrm>
          <a:graphic>
            <a:graphicData uri="http://schemas.microsoft.com/office/drawing/2010/slicer">
              <sle:slicer xmlns:sle="http://schemas.microsoft.com/office/drawing/2010/slicer" name="Customer Satisfaction"/>
            </a:graphicData>
          </a:graphic>
        </xdr:graphicFrame>
      </mc:Choice>
      <mc:Fallback>
        <xdr:sp macro="" textlink="">
          <xdr:nvSpPr>
            <xdr:cNvPr id="0" name=""/>
            <xdr:cNvSpPr>
              <a:spLocks noTextEdit="1"/>
            </xdr:cNvSpPr>
          </xdr:nvSpPr>
          <xdr:spPr>
            <a:xfrm>
              <a:off x="1912620" y="457199"/>
              <a:ext cx="1539240" cy="18135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495300</xdr:colOff>
      <xdr:row>2</xdr:row>
      <xdr:rowOff>76200</xdr:rowOff>
    </xdr:from>
    <xdr:to>
      <xdr:col>12</xdr:col>
      <xdr:colOff>53340</xdr:colOff>
      <xdr:row>13</xdr:row>
      <xdr:rowOff>60960</xdr:rowOff>
    </xdr:to>
    <xdr:graphicFrame macro="">
      <xdr:nvGraphicFramePr>
        <xdr:cNvPr id="21" name="Chart 20">
          <a:extLst>
            <a:ext uri="{FF2B5EF4-FFF2-40B4-BE49-F238E27FC236}">
              <a16:creationId xmlns:a16="http://schemas.microsoft.com/office/drawing/2014/main" id="{6D8171EA-B1F4-4182-A6DC-AE593EEA7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2</xdr:row>
      <xdr:rowOff>83820</xdr:rowOff>
    </xdr:from>
    <xdr:to>
      <xdr:col>18</xdr:col>
      <xdr:colOff>7620</xdr:colOff>
      <xdr:row>13</xdr:row>
      <xdr:rowOff>53340</xdr:rowOff>
    </xdr:to>
    <xdr:graphicFrame macro="">
      <xdr:nvGraphicFramePr>
        <xdr:cNvPr id="22" name="Chart 21">
          <a:extLst>
            <a:ext uri="{FF2B5EF4-FFF2-40B4-BE49-F238E27FC236}">
              <a16:creationId xmlns:a16="http://schemas.microsoft.com/office/drawing/2014/main" id="{ABD33478-2EF1-48BD-A08D-2FFBB998B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480060</xdr:colOff>
      <xdr:row>13</xdr:row>
      <xdr:rowOff>129540</xdr:rowOff>
    </xdr:from>
    <xdr:to>
      <xdr:col>12</xdr:col>
      <xdr:colOff>99060</xdr:colOff>
      <xdr:row>24</xdr:row>
      <xdr:rowOff>167640</xdr:rowOff>
    </xdr:to>
    <xdr:graphicFrame macro="">
      <xdr:nvGraphicFramePr>
        <xdr:cNvPr id="23" name="Chart 22">
          <a:extLst>
            <a:ext uri="{FF2B5EF4-FFF2-40B4-BE49-F238E27FC236}">
              <a16:creationId xmlns:a16="http://schemas.microsoft.com/office/drawing/2014/main" id="{579BE6C7-0FF3-4DCD-83A1-01423FB6EB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114300</xdr:colOff>
      <xdr:row>13</xdr:row>
      <xdr:rowOff>129540</xdr:rowOff>
    </xdr:from>
    <xdr:to>
      <xdr:col>17</xdr:col>
      <xdr:colOff>594360</xdr:colOff>
      <xdr:row>25</xdr:row>
      <xdr:rowOff>7620</xdr:rowOff>
    </xdr:to>
    <xdr:graphicFrame macro="">
      <xdr:nvGraphicFramePr>
        <xdr:cNvPr id="24" name="Chart 23">
          <a:extLst>
            <a:ext uri="{FF2B5EF4-FFF2-40B4-BE49-F238E27FC236}">
              <a16:creationId xmlns:a16="http://schemas.microsoft.com/office/drawing/2014/main" id="{F3E5C358-F381-4934-9970-D0547E2F2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15</xdr:row>
      <xdr:rowOff>0</xdr:rowOff>
    </xdr:from>
    <xdr:to>
      <xdr:col>22</xdr:col>
      <xdr:colOff>502920</xdr:colOff>
      <xdr:row>41</xdr:row>
      <xdr:rowOff>53340</xdr:rowOff>
    </xdr:to>
    <xdr:sp macro="" textlink="">
      <xdr:nvSpPr>
        <xdr:cNvPr id="7" name="Rectangle 6">
          <a:extLst>
            <a:ext uri="{FF2B5EF4-FFF2-40B4-BE49-F238E27FC236}">
              <a16:creationId xmlns:a16="http://schemas.microsoft.com/office/drawing/2014/main" id="{B4EBC625-3FA0-436F-B1FF-B6FC63DDF979}"/>
            </a:ext>
          </a:extLst>
        </xdr:cNvPr>
        <xdr:cNvSpPr/>
      </xdr:nvSpPr>
      <xdr:spPr>
        <a:xfrm>
          <a:off x="5562600" y="2743200"/>
          <a:ext cx="11475720" cy="4808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rahari suresh" refreshedDate="46202.623005439818" createdVersion="8" refreshedVersion="8" minRefreshableVersion="3" recordCount="63" xr:uid="{C5BEC9BC-0F80-4998-9F0D-C9ED2C7F6F32}">
  <cacheSource type="worksheet">
    <worksheetSource name="Table1"/>
  </cacheSource>
  <cacheFields count="14">
    <cacheField name="Date" numFmtId="14">
      <sharedItems containsSemiMixedTypes="0" containsNonDate="0" containsDate="1" containsString="0" minDate="2023-01-02T00:00:00" maxDate="2023-12-16T00:00:00" count="44">
        <d v="2023-05-14T00:00:00"/>
        <d v="2023-02-26T00:00:00"/>
        <d v="2023-02-27T00:00:00"/>
        <d v="2023-02-28T00:00:00"/>
        <d v="2023-10-29T00:00:00"/>
        <d v="2023-10-30T00:00:00"/>
        <d v="2023-10-31T00:00:00"/>
        <d v="2023-11-01T00:00:00"/>
        <d v="2023-11-02T00:00:00"/>
        <d v="2023-11-03T00:00:00"/>
        <d v="2023-10-26T00:00:00"/>
        <d v="2023-03-10T00:00:00"/>
        <d v="2023-04-28T00:00:00"/>
        <d v="2023-10-19T00:00:00"/>
        <d v="2023-08-22T00:00:00"/>
        <d v="2023-08-09T00:00:00"/>
        <d v="2023-06-01T00:00:00"/>
        <d v="2023-03-01T00:00:00"/>
        <d v="2023-11-27T00:00:00"/>
        <d v="2023-10-14T00:00:00"/>
        <d v="2023-06-21T00:00:00"/>
        <d v="2023-07-23T00:00:00"/>
        <d v="2023-07-20T00:00:00"/>
        <d v="2023-07-22T00:00:00"/>
        <d v="2023-04-02T00:00:00"/>
        <d v="2023-02-22T00:00:00"/>
        <d v="2023-09-10T00:00:00"/>
        <d v="2023-12-15T00:00:00"/>
        <d v="2023-03-12T00:00:00"/>
        <d v="2023-01-02T00:00:00"/>
        <d v="2023-10-28T00:00:00"/>
        <d v="2023-06-26T00:00:00"/>
        <d v="2023-11-13T00:00:00"/>
        <d v="2023-06-30T00:00:00"/>
        <d v="2023-04-14T00:00:00"/>
        <d v="2023-12-06T00:00:00"/>
        <d v="2023-05-08T00:00:00"/>
        <d v="2023-04-03T00:00:00"/>
        <d v="2023-10-27T00:00:00"/>
        <d v="2023-01-28T00:00:00"/>
        <d v="2023-01-29T00:00:00"/>
        <d v="2023-01-30T00:00:00"/>
        <d v="2023-01-31T00:00:00"/>
        <d v="2023-01-19T00:00:00"/>
      </sharedItems>
      <fieldGroup par="13"/>
    </cacheField>
    <cacheField name="Region" numFmtId="0">
      <sharedItems count="4">
        <s v="East"/>
        <s v="West"/>
        <s v="South"/>
        <s v="North"/>
      </sharedItems>
    </cacheField>
    <cacheField name="Sales" numFmtId="0">
      <sharedItems containsSemiMixedTypes="0" containsString="0" containsNumber="1" containsInteger="1" minValue="1000" maxValue="6500"/>
    </cacheField>
    <cacheField name="Profit" numFmtId="0">
      <sharedItems containsSemiMixedTypes="0" containsString="0" containsNumber="1" minValue="385.71428571428601" maxValue="5214.2857142857101" count="8">
        <n v="2957.1428571428601"/>
        <n v="2958"/>
        <n v="1328.57142857143"/>
        <n v="5214.2857142857101"/>
        <n v="1214.2857142857099"/>
        <n v="757.142857142857"/>
        <n v="914.28571428571399"/>
        <n v="385.71428571428601"/>
      </sharedItems>
    </cacheField>
    <cacheField name="Target Sales" numFmtId="0">
      <sharedItems containsSemiMixedTypes="0" containsString="0" containsNumber="1" minValue="285.71428571428572" maxValue="6714.2857142857101"/>
    </cacheField>
    <cacheField name="No of Customers" numFmtId="0">
      <sharedItems containsSemiMixedTypes="0" containsString="0" containsNumber="1" containsInteger="1" minValue="15" maxValue="310" count="25">
        <n v="80"/>
        <n v="30"/>
        <n v="15"/>
        <n v="40"/>
        <n v="100"/>
        <n v="20"/>
        <n v="90"/>
        <n v="45"/>
        <n v="43"/>
        <n v="110"/>
        <n v="228"/>
        <n v="220"/>
        <n v="238"/>
        <n v="230"/>
        <n v="250"/>
        <n v="240"/>
        <n v="270"/>
        <n v="259"/>
        <n v="260"/>
        <n v="261"/>
        <n v="242"/>
        <n v="285"/>
        <n v="275"/>
        <n v="290"/>
        <n v="310"/>
      </sharedItems>
    </cacheField>
    <cacheField name="Sales Completion Rate" numFmtId="0">
      <sharedItems containsSemiMixedTypes="0" containsString="0" containsNumber="1" minValue="0.7" maxValue="0.99"/>
    </cacheField>
    <cacheField name="Profit Completion Rate" numFmtId="0">
      <sharedItems containsSemiMixedTypes="0" containsString="0" containsNumber="1" minValue="0.7" maxValue="0.99"/>
    </cacheField>
    <cacheField name="Customer Completion Rate" numFmtId="0">
      <sharedItems containsSemiMixedTypes="0" containsString="0" containsNumber="1" minValue="0.7" maxValue="0.99"/>
    </cacheField>
    <cacheField name="Country" numFmtId="0">
      <sharedItems count="5">
        <s v="Argentina"/>
        <s v="Colombia"/>
        <s v="Brazil"/>
        <s v="Ecuador"/>
        <s v="Peru"/>
      </sharedItems>
    </cacheField>
    <cacheField name="Customer Satisfaction" numFmtId="0">
      <sharedItems count="5">
        <s v="Speed"/>
        <s v="Quality"/>
        <s v="Hygiene"/>
        <s v="Service"/>
        <s v="Availability"/>
      </sharedItems>
    </cacheField>
    <cacheField name="Score" numFmtId="0">
      <sharedItems containsSemiMixedTypes="0" containsString="0" containsNumber="1" containsInteger="1" minValue="2" maxValue="9"/>
    </cacheField>
    <cacheField name="Quarters (Date)" numFmtId="0" databaseField="0">
      <fieldGroup base="0">
        <rangePr groupBy="quarters" startDate="2023-01-02T00:00:00" endDate="2023-12-16T00:00:00"/>
        <groupItems count="6">
          <s v="&lt;1/2/2023"/>
          <s v="Qtr1"/>
          <s v="Qtr2"/>
          <s v="Qtr3"/>
          <s v="Qtr4"/>
          <s v="&gt;12/16/2023"/>
        </groupItems>
      </fieldGroup>
    </cacheField>
    <cacheField name="Years (Date)" numFmtId="0" databaseField="0">
      <fieldGroup base="0">
        <rangePr groupBy="years" startDate="2023-01-02T00:00:00" endDate="2023-12-16T00:00:00"/>
        <groupItems count="3">
          <s v="&lt;1/2/2023"/>
          <s v="2023"/>
          <s v="&gt;12/16/2023"/>
        </groupItems>
      </fieldGroup>
    </cacheField>
  </cacheFields>
  <extLst>
    <ext xmlns:x14="http://schemas.microsoft.com/office/spreadsheetml/2009/9/main" uri="{725AE2AE-9491-48be-B2B4-4EB974FC3084}">
      <x14:pivotCacheDefinition pivotCacheId="13562122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x v="0"/>
    <x v="0"/>
    <n v="2581"/>
    <x v="0"/>
    <n v="5857"/>
    <x v="0"/>
    <n v="0.89"/>
    <n v="0.85"/>
    <n v="0.72"/>
    <x v="0"/>
    <x v="0"/>
    <n v="8"/>
  </r>
  <r>
    <x v="1"/>
    <x v="1"/>
    <n v="3944"/>
    <x v="0"/>
    <n v="5857"/>
    <x v="1"/>
    <n v="0.94"/>
    <n v="0.95"/>
    <n v="0.86"/>
    <x v="1"/>
    <x v="1"/>
    <n v="4"/>
  </r>
  <r>
    <x v="2"/>
    <x v="2"/>
    <n v="3293"/>
    <x v="0"/>
    <n v="5857"/>
    <x v="2"/>
    <n v="0.82"/>
    <n v="0.8"/>
    <n v="0.76"/>
    <x v="2"/>
    <x v="2"/>
    <n v="3"/>
  </r>
  <r>
    <x v="3"/>
    <x v="2"/>
    <n v="2019"/>
    <x v="0"/>
    <n v="5857"/>
    <x v="3"/>
    <n v="0.79"/>
    <n v="0.79"/>
    <n v="0.79"/>
    <x v="3"/>
    <x v="0"/>
    <n v="2"/>
  </r>
  <r>
    <x v="4"/>
    <x v="1"/>
    <n v="2980"/>
    <x v="1"/>
    <n v="5857"/>
    <x v="4"/>
    <n v="0.96"/>
    <n v="0.79"/>
    <n v="0.7"/>
    <x v="4"/>
    <x v="3"/>
    <n v="7"/>
  </r>
  <r>
    <x v="5"/>
    <x v="1"/>
    <n v="2209"/>
    <x v="0"/>
    <n v="5857"/>
    <x v="2"/>
    <n v="0.79"/>
    <n v="0.79"/>
    <n v="0.77"/>
    <x v="4"/>
    <x v="0"/>
    <n v="9"/>
  </r>
  <r>
    <x v="6"/>
    <x v="3"/>
    <n v="2440"/>
    <x v="0"/>
    <n v="5857"/>
    <x v="5"/>
    <n v="0.75"/>
    <n v="0.72"/>
    <n v="0.93"/>
    <x v="4"/>
    <x v="1"/>
    <n v="5"/>
  </r>
  <r>
    <x v="7"/>
    <x v="3"/>
    <n v="2000"/>
    <x v="2"/>
    <n v="4428.5714285714303"/>
    <x v="6"/>
    <n v="0.92"/>
    <n v="0.99"/>
    <n v="0.74"/>
    <x v="2"/>
    <x v="1"/>
    <n v="6"/>
  </r>
  <r>
    <x v="8"/>
    <x v="3"/>
    <n v="1431"/>
    <x v="2"/>
    <n v="4428.5714285714303"/>
    <x v="1"/>
    <n v="0.7"/>
    <n v="0.99"/>
    <n v="0.95"/>
    <x v="2"/>
    <x v="3"/>
    <n v="8"/>
  </r>
  <r>
    <x v="9"/>
    <x v="1"/>
    <n v="3000"/>
    <x v="2"/>
    <n v="4428.5714285714303"/>
    <x v="2"/>
    <n v="0.91"/>
    <n v="0.98"/>
    <n v="0.89"/>
    <x v="2"/>
    <x v="3"/>
    <n v="4"/>
  </r>
  <r>
    <x v="0"/>
    <x v="1"/>
    <n v="4000"/>
    <x v="2"/>
    <n v="4428.5714285714303"/>
    <x v="3"/>
    <n v="0.74"/>
    <n v="0.85"/>
    <n v="0.7"/>
    <x v="2"/>
    <x v="0"/>
    <n v="3"/>
  </r>
  <r>
    <x v="10"/>
    <x v="0"/>
    <n v="1000"/>
    <x v="2"/>
    <n v="4428.5714285714303"/>
    <x v="4"/>
    <n v="0.9"/>
    <n v="0.9"/>
    <n v="0.72"/>
    <x v="2"/>
    <x v="1"/>
    <n v="2"/>
  </r>
  <r>
    <x v="11"/>
    <x v="0"/>
    <n v="2000"/>
    <x v="2"/>
    <n v="4428.5714285714303"/>
    <x v="2"/>
    <n v="0.95"/>
    <n v="0.97"/>
    <n v="0.81"/>
    <x v="2"/>
    <x v="2"/>
    <n v="7"/>
  </r>
  <r>
    <x v="12"/>
    <x v="2"/>
    <n v="2000"/>
    <x v="2"/>
    <n v="4428.5714285714303"/>
    <x v="5"/>
    <n v="0.99"/>
    <n v="0.79"/>
    <n v="0.75"/>
    <x v="2"/>
    <x v="3"/>
    <n v="9"/>
  </r>
  <r>
    <x v="13"/>
    <x v="2"/>
    <n v="4000"/>
    <x v="2"/>
    <n v="1428.57142857143"/>
    <x v="7"/>
    <n v="0.86"/>
    <n v="0.97"/>
    <n v="0.89"/>
    <x v="0"/>
    <x v="4"/>
    <n v="5"/>
  </r>
  <r>
    <x v="14"/>
    <x v="0"/>
    <n v="6000"/>
    <x v="2"/>
    <n v="1428.57142857143"/>
    <x v="8"/>
    <n v="0.83"/>
    <n v="0.72"/>
    <n v="0.74"/>
    <x v="1"/>
    <x v="0"/>
    <n v="6"/>
  </r>
  <r>
    <x v="15"/>
    <x v="1"/>
    <n v="6500"/>
    <x v="2"/>
    <n v="1428.57142857143"/>
    <x v="8"/>
    <n v="0.74"/>
    <n v="0.78"/>
    <n v="0.94"/>
    <x v="2"/>
    <x v="1"/>
    <n v="8"/>
  </r>
  <r>
    <x v="16"/>
    <x v="3"/>
    <n v="1200"/>
    <x v="2"/>
    <n v="1428.57142857143"/>
    <x v="8"/>
    <n v="0.8"/>
    <n v="0.84"/>
    <n v="0.81"/>
    <x v="3"/>
    <x v="1"/>
    <n v="4"/>
  </r>
  <r>
    <x v="17"/>
    <x v="3"/>
    <n v="3000"/>
    <x v="2"/>
    <n v="1428.5714285714287"/>
    <x v="8"/>
    <n v="0.89"/>
    <n v="0.99"/>
    <n v="0.97"/>
    <x v="0"/>
    <x v="0"/>
    <n v="3"/>
  </r>
  <r>
    <x v="18"/>
    <x v="3"/>
    <n v="2000"/>
    <x v="2"/>
    <n v="1428.5714285714287"/>
    <x v="3"/>
    <n v="0.71"/>
    <n v="0.87"/>
    <n v="0.94"/>
    <x v="1"/>
    <x v="4"/>
    <n v="2"/>
  </r>
  <r>
    <x v="19"/>
    <x v="3"/>
    <n v="2000"/>
    <x v="2"/>
    <n v="1428.5714285714287"/>
    <x v="8"/>
    <n v="0.9"/>
    <n v="0.72"/>
    <n v="0.94"/>
    <x v="2"/>
    <x v="0"/>
    <n v="7"/>
  </r>
  <r>
    <x v="20"/>
    <x v="0"/>
    <n v="3000"/>
    <x v="3"/>
    <n v="6714.2857142857101"/>
    <x v="4"/>
    <n v="0.89"/>
    <n v="0.85"/>
    <n v="0.87"/>
    <x v="3"/>
    <x v="1"/>
    <n v="9"/>
  </r>
  <r>
    <x v="21"/>
    <x v="2"/>
    <n v="4500"/>
    <x v="3"/>
    <n v="6714.2857142857101"/>
    <x v="4"/>
    <n v="0.89"/>
    <n v="0.8"/>
    <n v="0.88"/>
    <x v="0"/>
    <x v="2"/>
    <n v="5"/>
  </r>
  <r>
    <x v="22"/>
    <x v="0"/>
    <n v="5500"/>
    <x v="4"/>
    <n v="6714.2857142857101"/>
    <x v="4"/>
    <n v="0.98"/>
    <n v="0.99"/>
    <n v="0.81"/>
    <x v="2"/>
    <x v="0"/>
    <n v="6"/>
  </r>
  <r>
    <x v="23"/>
    <x v="1"/>
    <n v="1000"/>
    <x v="3"/>
    <n v="6714.2857142857101"/>
    <x v="4"/>
    <n v="0.81"/>
    <n v="0.91"/>
    <n v="0.95"/>
    <x v="3"/>
    <x v="4"/>
    <n v="8"/>
  </r>
  <r>
    <x v="24"/>
    <x v="0"/>
    <n v="2000"/>
    <x v="3"/>
    <n v="6714.2857142857101"/>
    <x v="4"/>
    <n v="0.97"/>
    <n v="0.85"/>
    <n v="0.85"/>
    <x v="0"/>
    <x v="0"/>
    <n v="4"/>
  </r>
  <r>
    <x v="25"/>
    <x v="0"/>
    <n v="2000"/>
    <x v="3"/>
    <n v="6714.2857142857101"/>
    <x v="4"/>
    <n v="0.89"/>
    <n v="0.94"/>
    <n v="0.8"/>
    <x v="1"/>
    <x v="0"/>
    <n v="3"/>
  </r>
  <r>
    <x v="26"/>
    <x v="0"/>
    <n v="2000"/>
    <x v="3"/>
    <n v="6714.2857142857101"/>
    <x v="4"/>
    <n v="0.88"/>
    <n v="0.94"/>
    <n v="0.7"/>
    <x v="2"/>
    <x v="2"/>
    <n v="2"/>
  </r>
  <r>
    <x v="27"/>
    <x v="0"/>
    <n v="2000"/>
    <x v="0"/>
    <n v="2857.1428571428573"/>
    <x v="6"/>
    <n v="0.75"/>
    <n v="0.77"/>
    <n v="0.84"/>
    <x v="3"/>
    <x v="3"/>
    <n v="7"/>
  </r>
  <r>
    <x v="28"/>
    <x v="0"/>
    <n v="1700"/>
    <x v="0"/>
    <n v="2857.1428571428573"/>
    <x v="0"/>
    <n v="0.73"/>
    <n v="0.96"/>
    <n v="0.93"/>
    <x v="3"/>
    <x v="4"/>
    <n v="4"/>
  </r>
  <r>
    <x v="26"/>
    <x v="0"/>
    <n v="1600"/>
    <x v="0"/>
    <n v="2857.1428571428573"/>
    <x v="6"/>
    <n v="0.93"/>
    <n v="0.74"/>
    <n v="0.93"/>
    <x v="2"/>
    <x v="0"/>
    <n v="5"/>
  </r>
  <r>
    <x v="29"/>
    <x v="1"/>
    <n v="1200"/>
    <x v="0"/>
    <n v="2857.1428571428573"/>
    <x v="9"/>
    <n v="0.85"/>
    <n v="0.7"/>
    <n v="0.99"/>
    <x v="3"/>
    <x v="1"/>
    <n v="6"/>
  </r>
  <r>
    <x v="30"/>
    <x v="2"/>
    <n v="2500"/>
    <x v="0"/>
    <n v="2857.1428571428573"/>
    <x v="6"/>
    <n v="0.92"/>
    <n v="0.99"/>
    <n v="0.88"/>
    <x v="0"/>
    <x v="2"/>
    <n v="8"/>
  </r>
  <r>
    <x v="31"/>
    <x v="2"/>
    <n v="2100"/>
    <x v="0"/>
    <n v="2857.1428571428573"/>
    <x v="4"/>
    <n v="0.75"/>
    <n v="0.97"/>
    <n v="0.83"/>
    <x v="1"/>
    <x v="3"/>
    <n v="4"/>
  </r>
  <r>
    <x v="32"/>
    <x v="2"/>
    <n v="2150"/>
    <x v="0"/>
    <n v="2857.1428571428573"/>
    <x v="6"/>
    <n v="0.77"/>
    <n v="0.97"/>
    <n v="0.78"/>
    <x v="0"/>
    <x v="4"/>
    <n v="3"/>
  </r>
  <r>
    <x v="33"/>
    <x v="2"/>
    <n v="2200"/>
    <x v="5"/>
    <n v="857.14285714285711"/>
    <x v="10"/>
    <n v="0.79"/>
    <n v="0.75"/>
    <n v="0.93"/>
    <x v="1"/>
    <x v="0"/>
    <n v="2"/>
  </r>
  <r>
    <x v="34"/>
    <x v="1"/>
    <n v="1800"/>
    <x v="5"/>
    <n v="857.14285714285711"/>
    <x v="11"/>
    <n v="0.81"/>
    <n v="0.98"/>
    <n v="0.86"/>
    <x v="2"/>
    <x v="1"/>
    <n v="7"/>
  </r>
  <r>
    <x v="35"/>
    <x v="3"/>
    <n v="1800"/>
    <x v="5"/>
    <n v="857.14285714285711"/>
    <x v="10"/>
    <n v="0.86"/>
    <n v="0.82"/>
    <n v="0.86"/>
    <x v="3"/>
    <x v="2"/>
    <n v="9"/>
  </r>
  <r>
    <x v="36"/>
    <x v="0"/>
    <n v="1414"/>
    <x v="5"/>
    <n v="857.14285714285711"/>
    <x v="12"/>
    <n v="0.72"/>
    <n v="0.95"/>
    <n v="0.9"/>
    <x v="4"/>
    <x v="3"/>
    <n v="5"/>
  </r>
  <r>
    <x v="37"/>
    <x v="2"/>
    <n v="2100"/>
    <x v="5"/>
    <n v="857.14285714285711"/>
    <x v="10"/>
    <n v="0.71"/>
    <n v="0.8"/>
    <n v="0.76"/>
    <x v="4"/>
    <x v="4"/>
    <n v="5"/>
  </r>
  <r>
    <x v="16"/>
    <x v="2"/>
    <n v="2500"/>
    <x v="5"/>
    <n v="857.14285714285711"/>
    <x v="13"/>
    <n v="0.97"/>
    <n v="0.95"/>
    <n v="0.85"/>
    <x v="4"/>
    <x v="0"/>
    <n v="8"/>
  </r>
  <r>
    <x v="9"/>
    <x v="3"/>
    <n v="2200"/>
    <x v="5"/>
    <n v="857.14285714285711"/>
    <x v="10"/>
    <n v="0.95"/>
    <n v="0.85"/>
    <n v="0.91"/>
    <x v="2"/>
    <x v="1"/>
    <n v="4"/>
  </r>
  <r>
    <x v="0"/>
    <x v="0"/>
    <n v="2500"/>
    <x v="6"/>
    <n v="714.28571428571433"/>
    <x v="14"/>
    <n v="0.97"/>
    <n v="0.7"/>
    <n v="0.93"/>
    <x v="2"/>
    <x v="2"/>
    <n v="3"/>
  </r>
  <r>
    <x v="10"/>
    <x v="2"/>
    <n v="2200"/>
    <x v="6"/>
    <n v="714.28571428571433"/>
    <x v="15"/>
    <n v="0.9"/>
    <n v="0.98"/>
    <n v="0.96"/>
    <x v="2"/>
    <x v="3"/>
    <n v="2"/>
  </r>
  <r>
    <x v="38"/>
    <x v="0"/>
    <n v="2500"/>
    <x v="6"/>
    <n v="714.28571428571433"/>
    <x v="16"/>
    <n v="0.9"/>
    <n v="0.95"/>
    <n v="0.98"/>
    <x v="2"/>
    <x v="4"/>
    <n v="3"/>
  </r>
  <r>
    <x v="39"/>
    <x v="1"/>
    <n v="2000"/>
    <x v="6"/>
    <n v="714.28571428571433"/>
    <x v="17"/>
    <n v="0.96"/>
    <n v="0.81"/>
    <n v="0.85"/>
    <x v="2"/>
    <x v="0"/>
    <n v="9"/>
  </r>
  <r>
    <x v="40"/>
    <x v="1"/>
    <n v="2500"/>
    <x v="6"/>
    <n v="714.28571428571433"/>
    <x v="18"/>
    <n v="0.98"/>
    <n v="0.84"/>
    <n v="0.89"/>
    <x v="2"/>
    <x v="0"/>
    <n v="5"/>
  </r>
  <r>
    <x v="41"/>
    <x v="1"/>
    <n v="2500"/>
    <x v="6"/>
    <n v="714.28571428571433"/>
    <x v="18"/>
    <n v="0.76"/>
    <n v="0.7"/>
    <n v="0.86"/>
    <x v="2"/>
    <x v="2"/>
    <n v="6"/>
  </r>
  <r>
    <x v="42"/>
    <x v="0"/>
    <n v="2500"/>
    <x v="6"/>
    <n v="714.28571428571433"/>
    <x v="19"/>
    <n v="0.91"/>
    <n v="0.77"/>
    <n v="0.75"/>
    <x v="0"/>
    <x v="3"/>
    <n v="8"/>
  </r>
  <r>
    <x v="7"/>
    <x v="0"/>
    <n v="2500"/>
    <x v="6"/>
    <n v="714.28571428571433"/>
    <x v="20"/>
    <n v="0.79"/>
    <n v="0.81"/>
    <n v="0.74"/>
    <x v="1"/>
    <x v="4"/>
    <n v="4"/>
  </r>
  <r>
    <x v="8"/>
    <x v="0"/>
    <n v="2250"/>
    <x v="6"/>
    <n v="714.28571428571433"/>
    <x v="14"/>
    <n v="0.85"/>
    <n v="0.82"/>
    <n v="0.73"/>
    <x v="2"/>
    <x v="0"/>
    <n v="3"/>
  </r>
  <r>
    <x v="9"/>
    <x v="0"/>
    <n v="2500"/>
    <x v="6"/>
    <n v="714.28571428571433"/>
    <x v="20"/>
    <n v="0.88"/>
    <n v="0.84"/>
    <n v="0.75"/>
    <x v="3"/>
    <x v="1"/>
    <n v="2"/>
  </r>
  <r>
    <x v="0"/>
    <x v="0"/>
    <n v="2500"/>
    <x v="6"/>
    <n v="714.28571428571433"/>
    <x v="20"/>
    <n v="0.81"/>
    <n v="0.92"/>
    <n v="0.91"/>
    <x v="0"/>
    <x v="2"/>
    <n v="7"/>
  </r>
  <r>
    <x v="10"/>
    <x v="2"/>
    <n v="2500"/>
    <x v="6"/>
    <n v="714.28571428571433"/>
    <x v="20"/>
    <n v="0.84"/>
    <n v="0.73"/>
    <n v="0.99"/>
    <x v="1"/>
    <x v="3"/>
    <n v="9"/>
  </r>
  <r>
    <x v="11"/>
    <x v="2"/>
    <n v="2500"/>
    <x v="6"/>
    <n v="714.28571428571433"/>
    <x v="15"/>
    <n v="0.93"/>
    <n v="0.79"/>
    <n v="0.72"/>
    <x v="2"/>
    <x v="4"/>
    <n v="5"/>
  </r>
  <r>
    <x v="12"/>
    <x v="2"/>
    <n v="2500"/>
    <x v="6"/>
    <n v="714.28571428571433"/>
    <x v="20"/>
    <n v="0.84"/>
    <n v="0.79"/>
    <n v="0.8"/>
    <x v="3"/>
    <x v="0"/>
    <n v="6"/>
  </r>
  <r>
    <x v="43"/>
    <x v="2"/>
    <n v="2200"/>
    <x v="7"/>
    <n v="285.71428571428572"/>
    <x v="21"/>
    <n v="0.85"/>
    <n v="0.91"/>
    <n v="0.84"/>
    <x v="0"/>
    <x v="1"/>
    <n v="8"/>
  </r>
  <r>
    <x v="14"/>
    <x v="1"/>
    <n v="2150"/>
    <x v="7"/>
    <n v="285.71428571428572"/>
    <x v="22"/>
    <n v="0.86"/>
    <n v="0.75"/>
    <n v="0.96"/>
    <x v="2"/>
    <x v="2"/>
    <n v="4"/>
  </r>
  <r>
    <x v="15"/>
    <x v="3"/>
    <n v="2400"/>
    <x v="7"/>
    <n v="285.71428571428572"/>
    <x v="21"/>
    <n v="0.96"/>
    <n v="0.77"/>
    <n v="0.92"/>
    <x v="3"/>
    <x v="3"/>
    <n v="3"/>
  </r>
  <r>
    <x v="16"/>
    <x v="2"/>
    <n v="2450"/>
    <x v="7"/>
    <n v="285.71428571428572"/>
    <x v="23"/>
    <n v="0.99"/>
    <n v="0.97"/>
    <n v="0.73"/>
    <x v="0"/>
    <x v="4"/>
    <n v="2"/>
  </r>
  <r>
    <x v="17"/>
    <x v="1"/>
    <n v="2500"/>
    <x v="7"/>
    <n v="285.71428571428572"/>
    <x v="24"/>
    <n v="0.77"/>
    <n v="0.72"/>
    <n v="0.85"/>
    <x v="1"/>
    <x v="0"/>
    <n v="7"/>
  </r>
  <r>
    <x v="18"/>
    <x v="3"/>
    <n v="2450"/>
    <x v="7"/>
    <n v="285.71428571428572"/>
    <x v="16"/>
    <n v="0.77"/>
    <n v="0.96"/>
    <n v="0.78"/>
    <x v="2"/>
    <x v="1"/>
    <n v="9"/>
  </r>
  <r>
    <x v="19"/>
    <x v="2"/>
    <n v="2400"/>
    <x v="7"/>
    <n v="285.71428571428572"/>
    <x v="21"/>
    <n v="0.78"/>
    <n v="0.8"/>
    <n v="0.85"/>
    <x v="3"/>
    <x v="2"/>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830B05-EC4E-4255-B170-C1A29446D285}"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4">
    <pivotField numFmtId="14" showAll="0">
      <items count="45">
        <item x="29"/>
        <item x="43"/>
        <item x="39"/>
        <item x="40"/>
        <item x="41"/>
        <item x="42"/>
        <item x="25"/>
        <item x="1"/>
        <item x="2"/>
        <item x="3"/>
        <item x="17"/>
        <item x="11"/>
        <item x="28"/>
        <item x="24"/>
        <item x="37"/>
        <item x="34"/>
        <item x="12"/>
        <item x="36"/>
        <item x="0"/>
        <item x="16"/>
        <item x="20"/>
        <item x="31"/>
        <item x="33"/>
        <item x="22"/>
        <item x="23"/>
        <item x="21"/>
        <item x="15"/>
        <item x="14"/>
        <item x="26"/>
        <item x="19"/>
        <item x="13"/>
        <item x="10"/>
        <item x="38"/>
        <item x="30"/>
        <item x="4"/>
        <item x="5"/>
        <item x="6"/>
        <item x="7"/>
        <item x="8"/>
        <item x="9"/>
        <item x="32"/>
        <item x="18"/>
        <item x="35"/>
        <item x="27"/>
        <item t="default"/>
      </items>
    </pivotField>
    <pivotField axis="axisRow" showAll="0">
      <items count="5">
        <item x="0"/>
        <item x="3"/>
        <item x="2"/>
        <item x="1"/>
        <item t="default"/>
      </items>
    </pivotField>
    <pivotField dataField="1" showAll="0"/>
    <pivotField showAll="0"/>
    <pivotField showAll="0"/>
    <pivotField showAll="0"/>
    <pivotField showAll="0"/>
    <pivotField showAll="0"/>
    <pivotField showAll="0"/>
    <pivotField showAll="0">
      <items count="6">
        <item x="0"/>
        <item x="2"/>
        <item x="1"/>
        <item x="3"/>
        <item x="4"/>
        <item t="default"/>
      </items>
    </pivotField>
    <pivotField showAll="0">
      <items count="6">
        <item x="4"/>
        <item x="2"/>
        <item x="1"/>
        <item x="3"/>
        <item x="0"/>
        <item t="default"/>
      </items>
    </pivotField>
    <pivotField showAll="0"/>
    <pivotField showAll="0">
      <items count="7">
        <item x="0"/>
        <item x="1"/>
        <item x="2"/>
        <item x="3"/>
        <item x="4"/>
        <item x="5"/>
        <item t="default"/>
      </items>
    </pivotField>
    <pivotField showAll="0">
      <items count="4">
        <item x="0"/>
        <item x="1"/>
        <item x="2"/>
        <item t="default"/>
      </items>
    </pivotField>
  </pivotFields>
  <rowFields count="1">
    <field x="1"/>
  </rowFields>
  <rowItems count="5">
    <i>
      <x/>
    </i>
    <i>
      <x v="1"/>
    </i>
    <i>
      <x v="2"/>
    </i>
    <i>
      <x v="3"/>
    </i>
    <i t="grand">
      <x/>
    </i>
  </rowItems>
  <colItems count="1">
    <i/>
  </colItems>
  <dataFields count="1">
    <dataField name="Sum of Sales" fld="2" baseField="0" baseItem="0"/>
  </dataFields>
  <chartFormats count="5">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70245C-68B1-47DA-B585-3984A000AB9E}"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4">
    <pivotField numFmtId="14" showAll="0">
      <items count="45">
        <item x="29"/>
        <item x="43"/>
        <item x="39"/>
        <item x="40"/>
        <item x="41"/>
        <item x="42"/>
        <item x="25"/>
        <item x="1"/>
        <item x="2"/>
        <item x="3"/>
        <item x="17"/>
        <item x="11"/>
        <item x="28"/>
        <item x="24"/>
        <item x="37"/>
        <item x="34"/>
        <item x="12"/>
        <item x="36"/>
        <item x="0"/>
        <item x="16"/>
        <item x="20"/>
        <item x="31"/>
        <item x="33"/>
        <item x="22"/>
        <item x="23"/>
        <item x="21"/>
        <item x="15"/>
        <item x="14"/>
        <item x="26"/>
        <item x="19"/>
        <item x="13"/>
        <item x="10"/>
        <item x="38"/>
        <item x="30"/>
        <item x="4"/>
        <item x="5"/>
        <item x="6"/>
        <item x="7"/>
        <item x="8"/>
        <item x="9"/>
        <item x="32"/>
        <item x="18"/>
        <item x="35"/>
        <item x="27"/>
        <item t="default"/>
      </items>
    </pivotField>
    <pivotField showAll="0">
      <items count="5">
        <item x="0"/>
        <item x="3"/>
        <item x="2"/>
        <item x="1"/>
        <item t="default"/>
      </items>
    </pivotField>
    <pivotField showAll="0"/>
    <pivotField dataField="1" showAll="0"/>
    <pivotField showAll="0"/>
    <pivotField showAll="0"/>
    <pivotField showAll="0"/>
    <pivotField showAll="0"/>
    <pivotField showAll="0"/>
    <pivotField showAll="0">
      <items count="6">
        <item x="0"/>
        <item x="2"/>
        <item x="1"/>
        <item x="3"/>
        <item x="4"/>
        <item t="default"/>
      </items>
    </pivotField>
    <pivotField showAll="0">
      <items count="6">
        <item x="4"/>
        <item x="2"/>
        <item x="1"/>
        <item x="3"/>
        <item x="0"/>
        <item t="default"/>
      </items>
    </pivotField>
    <pivotField showAll="0"/>
    <pivotField axis="axisRow" showAll="0">
      <items count="7">
        <item x="0"/>
        <item x="1"/>
        <item x="2"/>
        <item x="3"/>
        <item x="4"/>
        <item x="5"/>
        <item t="default"/>
      </items>
    </pivotField>
    <pivotField axis="axisRow" showAll="0">
      <items count="4">
        <item x="0"/>
        <item x="1"/>
        <item x="2"/>
        <item t="default"/>
      </items>
    </pivotField>
  </pivotFields>
  <rowFields count="2">
    <field x="13"/>
    <field x="12"/>
  </rowFields>
  <rowItems count="6">
    <i>
      <x v="1"/>
    </i>
    <i r="1">
      <x v="1"/>
    </i>
    <i r="1">
      <x v="2"/>
    </i>
    <i r="1">
      <x v="3"/>
    </i>
    <i r="1">
      <x v="4"/>
    </i>
    <i t="grand">
      <x/>
    </i>
  </rowItems>
  <colItems count="1">
    <i/>
  </colItems>
  <dataFields count="1">
    <dataField name="Sum of Profit" fld="3" baseField="0" baseItem="0"/>
  </dataFields>
  <chartFormats count="5">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8BDC26-3317-488A-B277-A109003274A4}"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9" firstHeaderRow="0" firstDataRow="1" firstDataCol="1"/>
  <pivotFields count="14">
    <pivotField numFmtId="14" showAll="0">
      <items count="45">
        <item x="29"/>
        <item x="43"/>
        <item x="39"/>
        <item x="40"/>
        <item x="41"/>
        <item x="42"/>
        <item x="25"/>
        <item x="1"/>
        <item x="2"/>
        <item x="3"/>
        <item x="17"/>
        <item x="11"/>
        <item x="28"/>
        <item x="24"/>
        <item x="37"/>
        <item x="34"/>
        <item x="12"/>
        <item x="36"/>
        <item x="0"/>
        <item x="16"/>
        <item x="20"/>
        <item x="31"/>
        <item x="33"/>
        <item x="22"/>
        <item x="23"/>
        <item x="21"/>
        <item x="15"/>
        <item x="14"/>
        <item x="26"/>
        <item x="19"/>
        <item x="13"/>
        <item x="10"/>
        <item x="38"/>
        <item x="30"/>
        <item x="4"/>
        <item x="5"/>
        <item x="6"/>
        <item x="7"/>
        <item x="8"/>
        <item x="9"/>
        <item x="32"/>
        <item x="18"/>
        <item x="35"/>
        <item x="27"/>
        <item t="default"/>
      </items>
    </pivotField>
    <pivotField showAll="0">
      <items count="5">
        <item x="0"/>
        <item x="3"/>
        <item x="2"/>
        <item x="1"/>
        <item t="default"/>
      </items>
    </pivotField>
    <pivotField dataField="1" showAll="0"/>
    <pivotField showAll="0">
      <items count="9">
        <item x="7"/>
        <item x="5"/>
        <item x="6"/>
        <item x="4"/>
        <item x="2"/>
        <item x="0"/>
        <item x="1"/>
        <item x="3"/>
        <item t="default"/>
      </items>
    </pivotField>
    <pivotField showAll="0"/>
    <pivotField dataField="1" showAll="0">
      <items count="26">
        <item x="2"/>
        <item x="5"/>
        <item x="1"/>
        <item x="3"/>
        <item x="8"/>
        <item x="7"/>
        <item x="0"/>
        <item x="6"/>
        <item x="4"/>
        <item x="9"/>
        <item x="11"/>
        <item x="10"/>
        <item x="13"/>
        <item x="12"/>
        <item x="15"/>
        <item x="20"/>
        <item x="14"/>
        <item x="17"/>
        <item x="18"/>
        <item x="19"/>
        <item x="16"/>
        <item x="22"/>
        <item x="21"/>
        <item x="23"/>
        <item x="24"/>
        <item t="default"/>
      </items>
    </pivotField>
    <pivotField showAll="0"/>
    <pivotField showAll="0"/>
    <pivotField showAll="0"/>
    <pivotField axis="axisRow" showAll="0">
      <items count="6">
        <item x="0"/>
        <item x="2"/>
        <item x="1"/>
        <item x="3"/>
        <item x="4"/>
        <item t="default"/>
      </items>
    </pivotField>
    <pivotField showAll="0">
      <items count="6">
        <item x="4"/>
        <item x="2"/>
        <item x="1"/>
        <item x="3"/>
        <item x="0"/>
        <item t="default"/>
      </items>
    </pivotField>
    <pivotField showAll="0"/>
    <pivotField showAll="0" defaultSubtotal="0"/>
    <pivotField showAll="0" defaultSubtotal="0">
      <items count="3">
        <item x="0"/>
        <item x="1"/>
        <item x="2"/>
      </items>
    </pivotField>
  </pivotFields>
  <rowFields count="1">
    <field x="9"/>
  </rowFields>
  <rowItems count="6">
    <i>
      <x/>
    </i>
    <i>
      <x v="1"/>
    </i>
    <i>
      <x v="2"/>
    </i>
    <i>
      <x v="3"/>
    </i>
    <i>
      <x v="4"/>
    </i>
    <i t="grand">
      <x/>
    </i>
  </rowItems>
  <colFields count="1">
    <field x="-2"/>
  </colFields>
  <colItems count="2">
    <i>
      <x/>
    </i>
    <i i="1">
      <x v="1"/>
    </i>
  </colItems>
  <dataFields count="2">
    <dataField name="Sum of Sales" fld="2" baseField="0" baseItem="0"/>
    <dataField name="Sum of No of Customers" fld="5" baseField="0" baseItem="0"/>
  </dataFields>
  <chartFormats count="60">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9" count="1" selected="0">
            <x v="0"/>
          </reference>
        </references>
      </pivotArea>
    </chartFormat>
    <chartFormat chart="4" format="16">
      <pivotArea type="data" outline="0" fieldPosition="0">
        <references count="2">
          <reference field="4294967294" count="1" selected="0">
            <x v="0"/>
          </reference>
          <reference field="9" count="1" selected="0">
            <x v="1"/>
          </reference>
        </references>
      </pivotArea>
    </chartFormat>
    <chartFormat chart="4" format="17">
      <pivotArea type="data" outline="0" fieldPosition="0">
        <references count="2">
          <reference field="4294967294" count="1" selected="0">
            <x v="0"/>
          </reference>
          <reference field="9" count="1" selected="0">
            <x v="2"/>
          </reference>
        </references>
      </pivotArea>
    </chartFormat>
    <chartFormat chart="4" format="18">
      <pivotArea type="data" outline="0" fieldPosition="0">
        <references count="2">
          <reference field="4294967294" count="1" selected="0">
            <x v="0"/>
          </reference>
          <reference field="9" count="1" selected="0">
            <x v="3"/>
          </reference>
        </references>
      </pivotArea>
    </chartFormat>
    <chartFormat chart="4" format="19">
      <pivotArea type="data" outline="0" fieldPosition="0">
        <references count="2">
          <reference field="4294967294" count="1" selected="0">
            <x v="0"/>
          </reference>
          <reference field="9" count="1" selected="0">
            <x v="4"/>
          </reference>
        </references>
      </pivotArea>
    </chartFormat>
    <chartFormat chart="4" format="20" series="1">
      <pivotArea type="data" outline="0" fieldPosition="0">
        <references count="1">
          <reference field="4294967294" count="1" selected="0">
            <x v="1"/>
          </reference>
        </references>
      </pivotArea>
    </chartFormat>
    <chartFormat chart="4" format="21">
      <pivotArea type="data" outline="0" fieldPosition="0">
        <references count="2">
          <reference field="4294967294" count="1" selected="0">
            <x v="1"/>
          </reference>
          <reference field="9" count="1" selected="0">
            <x v="0"/>
          </reference>
        </references>
      </pivotArea>
    </chartFormat>
    <chartFormat chart="4" format="22">
      <pivotArea type="data" outline="0" fieldPosition="0">
        <references count="2">
          <reference field="4294967294" count="1" selected="0">
            <x v="1"/>
          </reference>
          <reference field="9" count="1" selected="0">
            <x v="1"/>
          </reference>
        </references>
      </pivotArea>
    </chartFormat>
    <chartFormat chart="4" format="23">
      <pivotArea type="data" outline="0" fieldPosition="0">
        <references count="2">
          <reference field="4294967294" count="1" selected="0">
            <x v="1"/>
          </reference>
          <reference field="9" count="1" selected="0">
            <x v="2"/>
          </reference>
        </references>
      </pivotArea>
    </chartFormat>
    <chartFormat chart="4" format="24">
      <pivotArea type="data" outline="0" fieldPosition="0">
        <references count="2">
          <reference field="4294967294" count="1" selected="0">
            <x v="1"/>
          </reference>
          <reference field="9" count="1" selected="0">
            <x v="3"/>
          </reference>
        </references>
      </pivotArea>
    </chartFormat>
    <chartFormat chart="4" format="25">
      <pivotArea type="data" outline="0" fieldPosition="0">
        <references count="2">
          <reference field="4294967294" count="1" selected="0">
            <x v="1"/>
          </reference>
          <reference field="9" count="1" selected="0">
            <x v="4"/>
          </reference>
        </references>
      </pivotArea>
    </chartFormat>
    <chartFormat chart="7" format="38" series="1">
      <pivotArea type="data" outline="0" fieldPosition="0">
        <references count="1">
          <reference field="4294967294" count="1" selected="0">
            <x v="0"/>
          </reference>
        </references>
      </pivotArea>
    </chartFormat>
    <chartFormat chart="7" format="39">
      <pivotArea type="data" outline="0" fieldPosition="0">
        <references count="2">
          <reference field="4294967294" count="1" selected="0">
            <x v="0"/>
          </reference>
          <reference field="9" count="1" selected="0">
            <x v="0"/>
          </reference>
        </references>
      </pivotArea>
    </chartFormat>
    <chartFormat chart="7" format="40">
      <pivotArea type="data" outline="0" fieldPosition="0">
        <references count="2">
          <reference field="4294967294" count="1" selected="0">
            <x v="0"/>
          </reference>
          <reference field="9" count="1" selected="0">
            <x v="1"/>
          </reference>
        </references>
      </pivotArea>
    </chartFormat>
    <chartFormat chart="7" format="41">
      <pivotArea type="data" outline="0" fieldPosition="0">
        <references count="2">
          <reference field="4294967294" count="1" selected="0">
            <x v="0"/>
          </reference>
          <reference field="9" count="1" selected="0">
            <x v="2"/>
          </reference>
        </references>
      </pivotArea>
    </chartFormat>
    <chartFormat chart="7" format="42">
      <pivotArea type="data" outline="0" fieldPosition="0">
        <references count="2">
          <reference field="4294967294" count="1" selected="0">
            <x v="0"/>
          </reference>
          <reference field="9" count="1" selected="0">
            <x v="3"/>
          </reference>
        </references>
      </pivotArea>
    </chartFormat>
    <chartFormat chart="7" format="43">
      <pivotArea type="data" outline="0" fieldPosition="0">
        <references count="2">
          <reference field="4294967294" count="1" selected="0">
            <x v="0"/>
          </reference>
          <reference field="9" count="1" selected="0">
            <x v="4"/>
          </reference>
        </references>
      </pivotArea>
    </chartFormat>
    <chartFormat chart="7" format="44" series="1">
      <pivotArea type="data" outline="0" fieldPosition="0">
        <references count="1">
          <reference field="4294967294" count="1" selected="0">
            <x v="1"/>
          </reference>
        </references>
      </pivotArea>
    </chartFormat>
    <chartFormat chart="7" format="45">
      <pivotArea type="data" outline="0" fieldPosition="0">
        <references count="2">
          <reference field="4294967294" count="1" selected="0">
            <x v="1"/>
          </reference>
          <reference field="9" count="1" selected="0">
            <x v="0"/>
          </reference>
        </references>
      </pivotArea>
    </chartFormat>
    <chartFormat chart="7" format="46">
      <pivotArea type="data" outline="0" fieldPosition="0">
        <references count="2">
          <reference field="4294967294" count="1" selected="0">
            <x v="1"/>
          </reference>
          <reference field="9" count="1" selected="0">
            <x v="1"/>
          </reference>
        </references>
      </pivotArea>
    </chartFormat>
    <chartFormat chart="7" format="47">
      <pivotArea type="data" outline="0" fieldPosition="0">
        <references count="2">
          <reference field="4294967294" count="1" selected="0">
            <x v="1"/>
          </reference>
          <reference field="9" count="1" selected="0">
            <x v="2"/>
          </reference>
        </references>
      </pivotArea>
    </chartFormat>
    <chartFormat chart="7" format="48">
      <pivotArea type="data" outline="0" fieldPosition="0">
        <references count="2">
          <reference field="4294967294" count="1" selected="0">
            <x v="1"/>
          </reference>
          <reference field="9" count="1" selected="0">
            <x v="3"/>
          </reference>
        </references>
      </pivotArea>
    </chartFormat>
    <chartFormat chart="7" format="49">
      <pivotArea type="data" outline="0" fieldPosition="0">
        <references count="2">
          <reference field="4294967294" count="1" selected="0">
            <x v="1"/>
          </reference>
          <reference field="9" count="1" selected="0">
            <x v="4"/>
          </reference>
        </references>
      </pivotArea>
    </chartFormat>
    <chartFormat chart="8" format="50" series="1">
      <pivotArea type="data" outline="0" fieldPosition="0">
        <references count="1">
          <reference field="4294967294" count="1" selected="0">
            <x v="0"/>
          </reference>
        </references>
      </pivotArea>
    </chartFormat>
    <chartFormat chart="8" format="51">
      <pivotArea type="data" outline="0" fieldPosition="0">
        <references count="2">
          <reference field="4294967294" count="1" selected="0">
            <x v="0"/>
          </reference>
          <reference field="9" count="1" selected="0">
            <x v="0"/>
          </reference>
        </references>
      </pivotArea>
    </chartFormat>
    <chartFormat chart="8" format="52">
      <pivotArea type="data" outline="0" fieldPosition="0">
        <references count="2">
          <reference field="4294967294" count="1" selected="0">
            <x v="0"/>
          </reference>
          <reference field="9" count="1" selected="0">
            <x v="1"/>
          </reference>
        </references>
      </pivotArea>
    </chartFormat>
    <chartFormat chart="8" format="53">
      <pivotArea type="data" outline="0" fieldPosition="0">
        <references count="2">
          <reference field="4294967294" count="1" selected="0">
            <x v="0"/>
          </reference>
          <reference field="9" count="1" selected="0">
            <x v="2"/>
          </reference>
        </references>
      </pivotArea>
    </chartFormat>
    <chartFormat chart="8" format="54">
      <pivotArea type="data" outline="0" fieldPosition="0">
        <references count="2">
          <reference field="4294967294" count="1" selected="0">
            <x v="0"/>
          </reference>
          <reference field="9" count="1" selected="0">
            <x v="3"/>
          </reference>
        </references>
      </pivotArea>
    </chartFormat>
    <chartFormat chart="8" format="55">
      <pivotArea type="data" outline="0" fieldPosition="0">
        <references count="2">
          <reference field="4294967294" count="1" selected="0">
            <x v="0"/>
          </reference>
          <reference field="9" count="1" selected="0">
            <x v="4"/>
          </reference>
        </references>
      </pivotArea>
    </chartFormat>
    <chartFormat chart="8" format="56" series="1">
      <pivotArea type="data" outline="0" fieldPosition="0">
        <references count="1">
          <reference field="4294967294" count="1" selected="0">
            <x v="1"/>
          </reference>
        </references>
      </pivotArea>
    </chartFormat>
    <chartFormat chart="8" format="57">
      <pivotArea type="data" outline="0" fieldPosition="0">
        <references count="2">
          <reference field="4294967294" count="1" selected="0">
            <x v="1"/>
          </reference>
          <reference field="9" count="1" selected="0">
            <x v="0"/>
          </reference>
        </references>
      </pivotArea>
    </chartFormat>
    <chartFormat chart="8" format="58">
      <pivotArea type="data" outline="0" fieldPosition="0">
        <references count="2">
          <reference field="4294967294" count="1" selected="0">
            <x v="1"/>
          </reference>
          <reference field="9" count="1" selected="0">
            <x v="1"/>
          </reference>
        </references>
      </pivotArea>
    </chartFormat>
    <chartFormat chart="8" format="59">
      <pivotArea type="data" outline="0" fieldPosition="0">
        <references count="2">
          <reference field="4294967294" count="1" selected="0">
            <x v="1"/>
          </reference>
          <reference field="9" count="1" selected="0">
            <x v="2"/>
          </reference>
        </references>
      </pivotArea>
    </chartFormat>
    <chartFormat chart="8" format="60">
      <pivotArea type="data" outline="0" fieldPosition="0">
        <references count="2">
          <reference field="4294967294" count="1" selected="0">
            <x v="1"/>
          </reference>
          <reference field="9" count="1" selected="0">
            <x v="3"/>
          </reference>
        </references>
      </pivotArea>
    </chartFormat>
    <chartFormat chart="8" format="61">
      <pivotArea type="data" outline="0" fieldPosition="0">
        <references count="2">
          <reference field="4294967294" count="1" selected="0">
            <x v="1"/>
          </reference>
          <reference field="9" count="1" selected="0">
            <x v="4"/>
          </reference>
        </references>
      </pivotArea>
    </chartFormat>
    <chartFormat chart="9" format="62" series="1">
      <pivotArea type="data" outline="0" fieldPosition="0">
        <references count="1">
          <reference field="4294967294" count="1" selected="0">
            <x v="0"/>
          </reference>
        </references>
      </pivotArea>
    </chartFormat>
    <chartFormat chart="9" format="63">
      <pivotArea type="data" outline="0" fieldPosition="0">
        <references count="2">
          <reference field="4294967294" count="1" selected="0">
            <x v="0"/>
          </reference>
          <reference field="9" count="1" selected="0">
            <x v="0"/>
          </reference>
        </references>
      </pivotArea>
    </chartFormat>
    <chartFormat chart="9" format="64">
      <pivotArea type="data" outline="0" fieldPosition="0">
        <references count="2">
          <reference field="4294967294" count="1" selected="0">
            <x v="0"/>
          </reference>
          <reference field="9" count="1" selected="0">
            <x v="1"/>
          </reference>
        </references>
      </pivotArea>
    </chartFormat>
    <chartFormat chart="9" format="65">
      <pivotArea type="data" outline="0" fieldPosition="0">
        <references count="2">
          <reference field="4294967294" count="1" selected="0">
            <x v="0"/>
          </reference>
          <reference field="9" count="1" selected="0">
            <x v="2"/>
          </reference>
        </references>
      </pivotArea>
    </chartFormat>
    <chartFormat chart="9" format="66">
      <pivotArea type="data" outline="0" fieldPosition="0">
        <references count="2">
          <reference field="4294967294" count="1" selected="0">
            <x v="0"/>
          </reference>
          <reference field="9" count="1" selected="0">
            <x v="3"/>
          </reference>
        </references>
      </pivotArea>
    </chartFormat>
    <chartFormat chart="9" format="67">
      <pivotArea type="data" outline="0" fieldPosition="0">
        <references count="2">
          <reference field="4294967294" count="1" selected="0">
            <x v="0"/>
          </reference>
          <reference field="9" count="1" selected="0">
            <x v="4"/>
          </reference>
        </references>
      </pivotArea>
    </chartFormat>
    <chartFormat chart="9" format="68" series="1">
      <pivotArea type="data" outline="0" fieldPosition="0">
        <references count="1">
          <reference field="4294967294" count="1" selected="0">
            <x v="1"/>
          </reference>
        </references>
      </pivotArea>
    </chartFormat>
    <chartFormat chart="9" format="69">
      <pivotArea type="data" outline="0" fieldPosition="0">
        <references count="2">
          <reference field="4294967294" count="1" selected="0">
            <x v="1"/>
          </reference>
          <reference field="9" count="1" selected="0">
            <x v="0"/>
          </reference>
        </references>
      </pivotArea>
    </chartFormat>
    <chartFormat chart="9" format="70">
      <pivotArea type="data" outline="0" fieldPosition="0">
        <references count="2">
          <reference field="4294967294" count="1" selected="0">
            <x v="1"/>
          </reference>
          <reference field="9" count="1" selected="0">
            <x v="1"/>
          </reference>
        </references>
      </pivotArea>
    </chartFormat>
    <chartFormat chart="9" format="71">
      <pivotArea type="data" outline="0" fieldPosition="0">
        <references count="2">
          <reference field="4294967294" count="1" selected="0">
            <x v="1"/>
          </reference>
          <reference field="9" count="1" selected="0">
            <x v="2"/>
          </reference>
        </references>
      </pivotArea>
    </chartFormat>
    <chartFormat chart="9" format="72">
      <pivotArea type="data" outline="0" fieldPosition="0">
        <references count="2">
          <reference field="4294967294" count="1" selected="0">
            <x v="1"/>
          </reference>
          <reference field="9" count="1" selected="0">
            <x v="3"/>
          </reference>
        </references>
      </pivotArea>
    </chartFormat>
    <chartFormat chart="9" format="73">
      <pivotArea type="data" outline="0" fieldPosition="0">
        <references count="2">
          <reference field="4294967294" count="1" selected="0">
            <x v="1"/>
          </reference>
          <reference field="9" count="1" selected="0">
            <x v="4"/>
          </reference>
        </references>
      </pivotArea>
    </chartFormat>
    <chartFormat chart="10" format="62" series="1">
      <pivotArea type="data" outline="0" fieldPosition="0">
        <references count="1">
          <reference field="4294967294" count="1" selected="0">
            <x v="0"/>
          </reference>
        </references>
      </pivotArea>
    </chartFormat>
    <chartFormat chart="10" format="63">
      <pivotArea type="data" outline="0" fieldPosition="0">
        <references count="2">
          <reference field="4294967294" count="1" selected="0">
            <x v="0"/>
          </reference>
          <reference field="9" count="1" selected="0">
            <x v="0"/>
          </reference>
        </references>
      </pivotArea>
    </chartFormat>
    <chartFormat chart="10" format="64">
      <pivotArea type="data" outline="0" fieldPosition="0">
        <references count="2">
          <reference field="4294967294" count="1" selected="0">
            <x v="0"/>
          </reference>
          <reference field="9" count="1" selected="0">
            <x v="1"/>
          </reference>
        </references>
      </pivotArea>
    </chartFormat>
    <chartFormat chart="10" format="65">
      <pivotArea type="data" outline="0" fieldPosition="0">
        <references count="2">
          <reference field="4294967294" count="1" selected="0">
            <x v="0"/>
          </reference>
          <reference field="9" count="1" selected="0">
            <x v="2"/>
          </reference>
        </references>
      </pivotArea>
    </chartFormat>
    <chartFormat chart="10" format="66">
      <pivotArea type="data" outline="0" fieldPosition="0">
        <references count="2">
          <reference field="4294967294" count="1" selected="0">
            <x v="0"/>
          </reference>
          <reference field="9" count="1" selected="0">
            <x v="3"/>
          </reference>
        </references>
      </pivotArea>
    </chartFormat>
    <chartFormat chart="10" format="67">
      <pivotArea type="data" outline="0" fieldPosition="0">
        <references count="2">
          <reference field="4294967294" count="1" selected="0">
            <x v="0"/>
          </reference>
          <reference field="9" count="1" selected="0">
            <x v="4"/>
          </reference>
        </references>
      </pivotArea>
    </chartFormat>
    <chartFormat chart="10" format="68" series="1">
      <pivotArea type="data" outline="0" fieldPosition="0">
        <references count="1">
          <reference field="4294967294" count="1" selected="0">
            <x v="1"/>
          </reference>
        </references>
      </pivotArea>
    </chartFormat>
    <chartFormat chart="10" format="69">
      <pivotArea type="data" outline="0" fieldPosition="0">
        <references count="2">
          <reference field="4294967294" count="1" selected="0">
            <x v="1"/>
          </reference>
          <reference field="9" count="1" selected="0">
            <x v="0"/>
          </reference>
        </references>
      </pivotArea>
    </chartFormat>
    <chartFormat chart="10" format="70">
      <pivotArea type="data" outline="0" fieldPosition="0">
        <references count="2">
          <reference field="4294967294" count="1" selected="0">
            <x v="1"/>
          </reference>
          <reference field="9" count="1" selected="0">
            <x v="1"/>
          </reference>
        </references>
      </pivotArea>
    </chartFormat>
    <chartFormat chart="10" format="71">
      <pivotArea type="data" outline="0" fieldPosition="0">
        <references count="2">
          <reference field="4294967294" count="1" selected="0">
            <x v="1"/>
          </reference>
          <reference field="9" count="1" selected="0">
            <x v="2"/>
          </reference>
        </references>
      </pivotArea>
    </chartFormat>
    <chartFormat chart="10" format="72">
      <pivotArea type="data" outline="0" fieldPosition="0">
        <references count="2">
          <reference field="4294967294" count="1" selected="0">
            <x v="1"/>
          </reference>
          <reference field="9" count="1" selected="0">
            <x v="3"/>
          </reference>
        </references>
      </pivotArea>
    </chartFormat>
    <chartFormat chart="10" format="73">
      <pivotArea type="data" outline="0" fieldPosition="0">
        <references count="2">
          <reference field="4294967294" count="1" selected="0">
            <x v="1"/>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992020-FA93-4C1E-A90A-76825C39BB2F}"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4">
    <pivotField numFmtId="14" showAll="0">
      <items count="45">
        <item x="29"/>
        <item x="43"/>
        <item x="39"/>
        <item x="40"/>
        <item x="41"/>
        <item x="42"/>
        <item x="25"/>
        <item x="1"/>
        <item x="2"/>
        <item x="3"/>
        <item x="17"/>
        <item x="11"/>
        <item x="28"/>
        <item x="24"/>
        <item x="37"/>
        <item x="34"/>
        <item x="12"/>
        <item x="36"/>
        <item x="0"/>
        <item x="16"/>
        <item x="20"/>
        <item x="31"/>
        <item x="33"/>
        <item x="22"/>
        <item x="23"/>
        <item x="21"/>
        <item x="15"/>
        <item x="14"/>
        <item x="26"/>
        <item x="19"/>
        <item x="13"/>
        <item x="10"/>
        <item x="38"/>
        <item x="30"/>
        <item x="4"/>
        <item x="5"/>
        <item x="6"/>
        <item x="7"/>
        <item x="8"/>
        <item x="9"/>
        <item x="32"/>
        <item x="18"/>
        <item x="35"/>
        <item x="27"/>
        <item t="default"/>
      </items>
    </pivotField>
    <pivotField showAll="0">
      <items count="5">
        <item x="0"/>
        <item x="3"/>
        <item x="2"/>
        <item x="1"/>
        <item t="default"/>
      </items>
    </pivotField>
    <pivotField showAll="0"/>
    <pivotField showAll="0"/>
    <pivotField showAll="0"/>
    <pivotField showAll="0"/>
    <pivotField showAll="0"/>
    <pivotField showAll="0"/>
    <pivotField dataField="1" showAll="0"/>
    <pivotField showAll="0">
      <items count="6">
        <item x="0"/>
        <item x="2"/>
        <item x="1"/>
        <item x="3"/>
        <item x="4"/>
        <item t="default"/>
      </items>
    </pivotField>
    <pivotField axis="axisRow" showAll="0">
      <items count="6">
        <item x="4"/>
        <item x="2"/>
        <item x="1"/>
        <item x="3"/>
        <item x="0"/>
        <item t="default"/>
      </items>
    </pivotField>
    <pivotField showAll="0"/>
    <pivotField showAll="0" defaultSubtotal="0"/>
    <pivotField showAll="0" defaultSubtotal="0">
      <items count="3">
        <item x="0"/>
        <item x="1"/>
        <item x="2"/>
      </items>
    </pivotField>
  </pivotFields>
  <rowFields count="1">
    <field x="10"/>
  </rowFields>
  <rowItems count="6">
    <i>
      <x/>
    </i>
    <i>
      <x v="1"/>
    </i>
    <i>
      <x v="2"/>
    </i>
    <i>
      <x v="3"/>
    </i>
    <i>
      <x v="4"/>
    </i>
    <i t="grand">
      <x/>
    </i>
  </rowItems>
  <colItems count="1">
    <i/>
  </colItems>
  <dataFields count="1">
    <dataField name="Sum of Customer Completion Rate" fld="8" baseField="0" baseItem="0"/>
  </dataFields>
  <chartFormats count="30">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0" count="1" selected="0">
            <x v="0"/>
          </reference>
        </references>
      </pivotArea>
    </chartFormat>
    <chartFormat chart="4" format="10">
      <pivotArea type="data" outline="0" fieldPosition="0">
        <references count="2">
          <reference field="4294967294" count="1" selected="0">
            <x v="0"/>
          </reference>
          <reference field="10" count="1" selected="0">
            <x v="1"/>
          </reference>
        </references>
      </pivotArea>
    </chartFormat>
    <chartFormat chart="4" format="11">
      <pivotArea type="data" outline="0" fieldPosition="0">
        <references count="2">
          <reference field="4294967294" count="1" selected="0">
            <x v="0"/>
          </reference>
          <reference field="10" count="1" selected="0">
            <x v="2"/>
          </reference>
        </references>
      </pivotArea>
    </chartFormat>
    <chartFormat chart="4" format="12">
      <pivotArea type="data" outline="0" fieldPosition="0">
        <references count="2">
          <reference field="4294967294" count="1" selected="0">
            <x v="0"/>
          </reference>
          <reference field="10" count="1" selected="0">
            <x v="3"/>
          </reference>
        </references>
      </pivotArea>
    </chartFormat>
    <chartFormat chart="4" format="13">
      <pivotArea type="data" outline="0" fieldPosition="0">
        <references count="2">
          <reference field="4294967294" count="1" selected="0">
            <x v="0"/>
          </reference>
          <reference field="10" count="1" selected="0">
            <x v="4"/>
          </reference>
        </references>
      </pivotArea>
    </chartFormat>
    <chartFormat chart="7" format="20" series="1">
      <pivotArea type="data" outline="0" fieldPosition="0">
        <references count="1">
          <reference field="4294967294" count="1" selected="0">
            <x v="0"/>
          </reference>
        </references>
      </pivotArea>
    </chartFormat>
    <chartFormat chart="7" format="21">
      <pivotArea type="data" outline="0" fieldPosition="0">
        <references count="2">
          <reference field="4294967294" count="1" selected="0">
            <x v="0"/>
          </reference>
          <reference field="10" count="1" selected="0">
            <x v="0"/>
          </reference>
        </references>
      </pivotArea>
    </chartFormat>
    <chartFormat chart="7" format="22">
      <pivotArea type="data" outline="0" fieldPosition="0">
        <references count="2">
          <reference field="4294967294" count="1" selected="0">
            <x v="0"/>
          </reference>
          <reference field="10" count="1" selected="0">
            <x v="1"/>
          </reference>
        </references>
      </pivotArea>
    </chartFormat>
    <chartFormat chart="7" format="23">
      <pivotArea type="data" outline="0" fieldPosition="0">
        <references count="2">
          <reference field="4294967294" count="1" selected="0">
            <x v="0"/>
          </reference>
          <reference field="10" count="1" selected="0">
            <x v="2"/>
          </reference>
        </references>
      </pivotArea>
    </chartFormat>
    <chartFormat chart="7" format="24">
      <pivotArea type="data" outline="0" fieldPosition="0">
        <references count="2">
          <reference field="4294967294" count="1" selected="0">
            <x v="0"/>
          </reference>
          <reference field="10" count="1" selected="0">
            <x v="3"/>
          </reference>
        </references>
      </pivotArea>
    </chartFormat>
    <chartFormat chart="7" format="25">
      <pivotArea type="data" outline="0" fieldPosition="0">
        <references count="2">
          <reference field="4294967294" count="1" selected="0">
            <x v="0"/>
          </reference>
          <reference field="10" count="1" selected="0">
            <x v="4"/>
          </reference>
        </references>
      </pivotArea>
    </chartFormat>
    <chartFormat chart="8" format="26" series="1">
      <pivotArea type="data" outline="0" fieldPosition="0">
        <references count="1">
          <reference field="4294967294" count="1" selected="0">
            <x v="0"/>
          </reference>
        </references>
      </pivotArea>
    </chartFormat>
    <chartFormat chart="8" format="27">
      <pivotArea type="data" outline="0" fieldPosition="0">
        <references count="2">
          <reference field="4294967294" count="1" selected="0">
            <x v="0"/>
          </reference>
          <reference field="10" count="1" selected="0">
            <x v="0"/>
          </reference>
        </references>
      </pivotArea>
    </chartFormat>
    <chartFormat chart="8" format="28">
      <pivotArea type="data" outline="0" fieldPosition="0">
        <references count="2">
          <reference field="4294967294" count="1" selected="0">
            <x v="0"/>
          </reference>
          <reference field="10" count="1" selected="0">
            <x v="1"/>
          </reference>
        </references>
      </pivotArea>
    </chartFormat>
    <chartFormat chart="8" format="29">
      <pivotArea type="data" outline="0" fieldPosition="0">
        <references count="2">
          <reference field="4294967294" count="1" selected="0">
            <x v="0"/>
          </reference>
          <reference field="10" count="1" selected="0">
            <x v="2"/>
          </reference>
        </references>
      </pivotArea>
    </chartFormat>
    <chartFormat chart="8" format="30">
      <pivotArea type="data" outline="0" fieldPosition="0">
        <references count="2">
          <reference field="4294967294" count="1" selected="0">
            <x v="0"/>
          </reference>
          <reference field="10" count="1" selected="0">
            <x v="3"/>
          </reference>
        </references>
      </pivotArea>
    </chartFormat>
    <chartFormat chart="8" format="31">
      <pivotArea type="data" outline="0" fieldPosition="0">
        <references count="2">
          <reference field="4294967294" count="1" selected="0">
            <x v="0"/>
          </reference>
          <reference field="10" count="1" selected="0">
            <x v="4"/>
          </reference>
        </references>
      </pivotArea>
    </chartFormat>
    <chartFormat chart="9" format="32" series="1">
      <pivotArea type="data" outline="0" fieldPosition="0">
        <references count="1">
          <reference field="4294967294" count="1" selected="0">
            <x v="0"/>
          </reference>
        </references>
      </pivotArea>
    </chartFormat>
    <chartFormat chart="9" format="33">
      <pivotArea type="data" outline="0" fieldPosition="0">
        <references count="2">
          <reference field="4294967294" count="1" selected="0">
            <x v="0"/>
          </reference>
          <reference field="10" count="1" selected="0">
            <x v="0"/>
          </reference>
        </references>
      </pivotArea>
    </chartFormat>
    <chartFormat chart="9" format="34">
      <pivotArea type="data" outline="0" fieldPosition="0">
        <references count="2">
          <reference field="4294967294" count="1" selected="0">
            <x v="0"/>
          </reference>
          <reference field="10" count="1" selected="0">
            <x v="1"/>
          </reference>
        </references>
      </pivotArea>
    </chartFormat>
    <chartFormat chart="9" format="35">
      <pivotArea type="data" outline="0" fieldPosition="0">
        <references count="2">
          <reference field="4294967294" count="1" selected="0">
            <x v="0"/>
          </reference>
          <reference field="10" count="1" selected="0">
            <x v="2"/>
          </reference>
        </references>
      </pivotArea>
    </chartFormat>
    <chartFormat chart="9" format="36">
      <pivotArea type="data" outline="0" fieldPosition="0">
        <references count="2">
          <reference field="4294967294" count="1" selected="0">
            <x v="0"/>
          </reference>
          <reference field="10" count="1" selected="0">
            <x v="3"/>
          </reference>
        </references>
      </pivotArea>
    </chartFormat>
    <chartFormat chart="9" format="37">
      <pivotArea type="data" outline="0" fieldPosition="0">
        <references count="2">
          <reference field="4294967294" count="1" selected="0">
            <x v="0"/>
          </reference>
          <reference field="10" count="1" selected="0">
            <x v="4"/>
          </reference>
        </references>
      </pivotArea>
    </chartFormat>
    <chartFormat chart="10" format="32" series="1">
      <pivotArea type="data" outline="0" fieldPosition="0">
        <references count="1">
          <reference field="4294967294" count="1" selected="0">
            <x v="0"/>
          </reference>
        </references>
      </pivotArea>
    </chartFormat>
    <chartFormat chart="10" format="33">
      <pivotArea type="data" outline="0" fieldPosition="0">
        <references count="2">
          <reference field="4294967294" count="1" selected="0">
            <x v="0"/>
          </reference>
          <reference field="10" count="1" selected="0">
            <x v="0"/>
          </reference>
        </references>
      </pivotArea>
    </chartFormat>
    <chartFormat chart="10" format="34">
      <pivotArea type="data" outline="0" fieldPosition="0">
        <references count="2">
          <reference field="4294967294" count="1" selected="0">
            <x v="0"/>
          </reference>
          <reference field="10" count="1" selected="0">
            <x v="1"/>
          </reference>
        </references>
      </pivotArea>
    </chartFormat>
    <chartFormat chart="10" format="35">
      <pivotArea type="data" outline="0" fieldPosition="0">
        <references count="2">
          <reference field="4294967294" count="1" selected="0">
            <x v="0"/>
          </reference>
          <reference field="10" count="1" selected="0">
            <x v="2"/>
          </reference>
        </references>
      </pivotArea>
    </chartFormat>
    <chartFormat chart="10" format="36">
      <pivotArea type="data" outline="0" fieldPosition="0">
        <references count="2">
          <reference field="4294967294" count="1" selected="0">
            <x v="0"/>
          </reference>
          <reference field="10" count="1" selected="0">
            <x v="3"/>
          </reference>
        </references>
      </pivotArea>
    </chartFormat>
    <chartFormat chart="10" format="37">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DA5FF03-D8BD-49BF-89BB-48C86950EEE2}" sourceName="Region">
  <pivotTables>
    <pivotTable tabId="2" name="PivotTable1"/>
    <pivotTable tabId="6" name="PivotTable4"/>
    <pivotTable tabId="4" name="PivotTable2"/>
    <pivotTable tabId="5" name="PivotTable3"/>
  </pivotTables>
  <data>
    <tabular pivotCacheId="1356212258">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D98C2E1-9DA1-4105-A18D-F31CAC33DEFA}" sourceName="Country">
  <pivotTables>
    <pivotTable tabId="2" name="PivotTable1"/>
    <pivotTable tabId="6" name="PivotTable4"/>
    <pivotTable tabId="4" name="PivotTable2"/>
    <pivotTable tabId="5" name="PivotTable3"/>
  </pivotTables>
  <data>
    <tabular pivotCacheId="1356212258">
      <items count="5">
        <i x="0" s="1"/>
        <i x="2"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atisfaction" xr10:uid="{7B7B9221-2D26-4495-BFB6-071E595334C1}" sourceName="Customer Satisfaction">
  <pivotTables>
    <pivotTable tabId="2" name="PivotTable1"/>
    <pivotTable tabId="6" name="PivotTable4"/>
    <pivotTable tabId="4" name="PivotTable2"/>
    <pivotTable tabId="5" name="PivotTable3"/>
  </pivotTables>
  <data>
    <tabular pivotCacheId="1356212258">
      <items count="5">
        <i x="4" s="1"/>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249915D-E291-49EC-AA8D-810AB0CCDD8C}" cache="Slicer_Region" caption="Region" rowHeight="247650"/>
  <slicer name="Country" xr10:uid="{A95DFE51-B62C-4C27-8E29-D9447D41A495}" cache="Slicer_Country" caption="Country" rowHeight="247650"/>
  <slicer name="Customer Satisfaction" xr10:uid="{B0323A76-2BD5-469C-A6BA-A91481528BF6}" cache="Slicer_Customer_Satisfaction" caption="Customer Satisfact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773B55-0E52-47D6-AF9A-C1DD12C40AE3}" name="Table1" displayName="Table1" ref="A1:L64" totalsRowShown="0">
  <autoFilter ref="A1:L64" xr:uid="{45773B55-0E52-47D6-AF9A-C1DD12C40AE3}"/>
  <tableColumns count="12">
    <tableColumn id="1" xr3:uid="{B8E24E14-9280-4EC6-8EFB-A1B2FA779396}" name="Date" dataDxfId="0"/>
    <tableColumn id="2" xr3:uid="{E18D829D-1276-4102-94F4-AE898EBD7A0F}" name="Region"/>
    <tableColumn id="3" xr3:uid="{367DC59B-A078-4A27-A272-EA5D23A120FE}" name="Sales"/>
    <tableColumn id="4" xr3:uid="{57815FFD-1A46-4DF8-B1B6-06A0DC457509}" name="Profit"/>
    <tableColumn id="5" xr3:uid="{19F97CE1-C162-4952-93A2-FC09F3AAA830}" name="Target Sales"/>
    <tableColumn id="6" xr3:uid="{2C93FA19-27DA-4FC4-A0A8-14407819120E}" name="No of Customers"/>
    <tableColumn id="7" xr3:uid="{D78F2FFB-E6FE-4332-A922-84A540A816E6}" name="Sales Completion Rate"/>
    <tableColumn id="8" xr3:uid="{6BD5A080-EC22-456C-8919-485949AD8538}" name="Profit Completion Rate"/>
    <tableColumn id="9" xr3:uid="{3CED3485-2D30-49DF-9DE6-9EA5E5AB1689}" name="Customer Completion Rate"/>
    <tableColumn id="10" xr3:uid="{B0889D3D-306F-4642-8CD1-3502F6EB554F}" name="Country"/>
    <tableColumn id="11" xr3:uid="{90D63774-49FA-44B9-9484-9459EDE0BDC4}" name="Customer Satisfaction"/>
    <tableColumn id="12" xr3:uid="{6C58FF9E-B908-4CFC-B1F0-A27B3A715AAF}" name="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62F91-1667-4880-9F0D-D171C513036A}">
  <dimension ref="A3:B8"/>
  <sheetViews>
    <sheetView workbookViewId="0">
      <selection activeCell="B5" sqref="B5"/>
    </sheetView>
  </sheetViews>
  <sheetFormatPr defaultRowHeight="14.4" x14ac:dyDescent="0.3"/>
  <cols>
    <col min="1" max="1" width="12.44140625" bestFit="1" customWidth="1"/>
    <col min="2" max="2" width="11.5546875" bestFit="1" customWidth="1"/>
  </cols>
  <sheetData>
    <row r="3" spans="1:2" x14ac:dyDescent="0.3">
      <c r="A3" s="2" t="s">
        <v>26</v>
      </c>
      <c r="B3" t="s">
        <v>28</v>
      </c>
    </row>
    <row r="4" spans="1:2" x14ac:dyDescent="0.3">
      <c r="A4" s="3" t="s">
        <v>12</v>
      </c>
      <c r="B4" s="4">
        <v>50045</v>
      </c>
    </row>
    <row r="5" spans="1:2" x14ac:dyDescent="0.3">
      <c r="A5" s="3" t="s">
        <v>24</v>
      </c>
      <c r="B5" s="4">
        <v>22921</v>
      </c>
    </row>
    <row r="6" spans="1:2" x14ac:dyDescent="0.3">
      <c r="A6" s="3" t="s">
        <v>18</v>
      </c>
      <c r="B6" s="4">
        <v>46112</v>
      </c>
    </row>
    <row r="7" spans="1:2" x14ac:dyDescent="0.3">
      <c r="A7" s="3" t="s">
        <v>15</v>
      </c>
      <c r="B7" s="4">
        <v>38283</v>
      </c>
    </row>
    <row r="8" spans="1:2" x14ac:dyDescent="0.3">
      <c r="A8" s="3" t="s">
        <v>27</v>
      </c>
      <c r="B8" s="4">
        <v>157361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00EBB-4236-4385-B112-7436EAEB5F65}">
  <dimension ref="A1:L64"/>
  <sheetViews>
    <sheetView topLeftCell="A2" workbookViewId="0">
      <selection sqref="A1:L64"/>
    </sheetView>
  </sheetViews>
  <sheetFormatPr defaultRowHeight="14.4" x14ac:dyDescent="0.3"/>
  <cols>
    <col min="1" max="1" width="10.109375" style="1" bestFit="1" customWidth="1"/>
    <col min="5" max="5" width="12.88671875" customWidth="1"/>
    <col min="6" max="6" width="16.44140625" customWidth="1"/>
    <col min="7" max="8" width="21.6640625" customWidth="1"/>
    <col min="9" max="9" width="25.21875" customWidth="1"/>
    <col min="10" max="10" width="9.33203125" customWidth="1"/>
    <col min="11" max="11" width="21.33203125" customWidth="1"/>
  </cols>
  <sheetData>
    <row r="1" spans="1:12" x14ac:dyDescent="0.3">
      <c r="A1" s="1" t="s">
        <v>0</v>
      </c>
      <c r="B1" t="s">
        <v>1</v>
      </c>
      <c r="C1" t="s">
        <v>2</v>
      </c>
      <c r="D1" t="s">
        <v>3</v>
      </c>
      <c r="E1" t="s">
        <v>4</v>
      </c>
      <c r="F1" t="s">
        <v>5</v>
      </c>
      <c r="G1" t="s">
        <v>6</v>
      </c>
      <c r="H1" t="s">
        <v>7</v>
      </c>
      <c r="I1" t="s">
        <v>8</v>
      </c>
      <c r="J1" t="s">
        <v>9</v>
      </c>
      <c r="K1" t="s">
        <v>10</v>
      </c>
      <c r="L1" t="s">
        <v>11</v>
      </c>
    </row>
    <row r="2" spans="1:12" x14ac:dyDescent="0.3">
      <c r="A2" s="1">
        <v>45060</v>
      </c>
      <c r="B2" t="s">
        <v>12</v>
      </c>
      <c r="C2">
        <v>2581</v>
      </c>
      <c r="D2">
        <v>2957.1428571428601</v>
      </c>
      <c r="E2">
        <v>5857</v>
      </c>
      <c r="F2">
        <v>80</v>
      </c>
      <c r="G2">
        <v>0.89</v>
      </c>
      <c r="H2">
        <v>0.85</v>
      </c>
      <c r="I2">
        <v>0.72</v>
      </c>
      <c r="J2" t="s">
        <v>13</v>
      </c>
      <c r="K2" t="s">
        <v>14</v>
      </c>
      <c r="L2">
        <v>8</v>
      </c>
    </row>
    <row r="3" spans="1:12" x14ac:dyDescent="0.3">
      <c r="A3" s="1">
        <v>44983</v>
      </c>
      <c r="B3" t="s">
        <v>15</v>
      </c>
      <c r="C3">
        <v>3944</v>
      </c>
      <c r="D3">
        <v>2957.1428571428601</v>
      </c>
      <c r="E3">
        <v>5857</v>
      </c>
      <c r="F3">
        <v>30</v>
      </c>
      <c r="G3">
        <v>0.94</v>
      </c>
      <c r="H3">
        <v>0.95</v>
      </c>
      <c r="I3">
        <v>0.86</v>
      </c>
      <c r="J3" t="s">
        <v>16</v>
      </c>
      <c r="K3" t="s">
        <v>17</v>
      </c>
      <c r="L3">
        <v>4</v>
      </c>
    </row>
    <row r="4" spans="1:12" x14ac:dyDescent="0.3">
      <c r="A4" s="1">
        <v>44984</v>
      </c>
      <c r="B4" t="s">
        <v>18</v>
      </c>
      <c r="C4">
        <v>3293</v>
      </c>
      <c r="D4">
        <v>2957.1428571428601</v>
      </c>
      <c r="E4">
        <v>5857</v>
      </c>
      <c r="F4">
        <v>15</v>
      </c>
      <c r="G4">
        <v>0.82</v>
      </c>
      <c r="H4">
        <v>0.8</v>
      </c>
      <c r="I4">
        <v>0.76</v>
      </c>
      <c r="J4" t="s">
        <v>19</v>
      </c>
      <c r="K4" t="s">
        <v>20</v>
      </c>
      <c r="L4">
        <v>3</v>
      </c>
    </row>
    <row r="5" spans="1:12" x14ac:dyDescent="0.3">
      <c r="A5" s="1">
        <v>44985</v>
      </c>
      <c r="B5" t="s">
        <v>18</v>
      </c>
      <c r="C5">
        <v>2019</v>
      </c>
      <c r="D5">
        <v>2957.1428571428601</v>
      </c>
      <c r="E5">
        <v>5857</v>
      </c>
      <c r="F5">
        <v>40</v>
      </c>
      <c r="G5">
        <v>0.79</v>
      </c>
      <c r="H5">
        <v>0.79</v>
      </c>
      <c r="I5">
        <v>0.79</v>
      </c>
      <c r="J5" t="s">
        <v>21</v>
      </c>
      <c r="K5" t="s">
        <v>14</v>
      </c>
      <c r="L5">
        <v>2</v>
      </c>
    </row>
    <row r="6" spans="1:12" x14ac:dyDescent="0.3">
      <c r="A6" s="1">
        <v>45228</v>
      </c>
      <c r="B6" t="s">
        <v>15</v>
      </c>
      <c r="C6">
        <v>2980</v>
      </c>
      <c r="D6">
        <v>2958</v>
      </c>
      <c r="E6">
        <v>5857</v>
      </c>
      <c r="F6">
        <v>100</v>
      </c>
      <c r="G6">
        <v>0.96</v>
      </c>
      <c r="H6">
        <v>0.79</v>
      </c>
      <c r="I6">
        <v>0.7</v>
      </c>
      <c r="J6" t="s">
        <v>22</v>
      </c>
      <c r="K6" t="s">
        <v>23</v>
      </c>
      <c r="L6">
        <v>7</v>
      </c>
    </row>
    <row r="7" spans="1:12" x14ac:dyDescent="0.3">
      <c r="A7" s="1">
        <v>45229</v>
      </c>
      <c r="B7" t="s">
        <v>15</v>
      </c>
      <c r="C7">
        <v>2209</v>
      </c>
      <c r="D7">
        <v>2957.1428571428601</v>
      </c>
      <c r="E7">
        <v>5857</v>
      </c>
      <c r="F7">
        <v>15</v>
      </c>
      <c r="G7">
        <v>0.79</v>
      </c>
      <c r="H7">
        <v>0.79</v>
      </c>
      <c r="I7">
        <v>0.77</v>
      </c>
      <c r="J7" t="s">
        <v>22</v>
      </c>
      <c r="K7" t="s">
        <v>14</v>
      </c>
      <c r="L7">
        <v>9</v>
      </c>
    </row>
    <row r="8" spans="1:12" x14ac:dyDescent="0.3">
      <c r="A8" s="1">
        <v>45230</v>
      </c>
      <c r="B8" t="s">
        <v>24</v>
      </c>
      <c r="C8">
        <v>2440</v>
      </c>
      <c r="D8">
        <v>2957.1428571428601</v>
      </c>
      <c r="E8">
        <v>5857</v>
      </c>
      <c r="F8">
        <v>20</v>
      </c>
      <c r="G8">
        <v>0.75</v>
      </c>
      <c r="H8">
        <v>0.72</v>
      </c>
      <c r="I8">
        <v>0.93</v>
      </c>
      <c r="J8" t="s">
        <v>22</v>
      </c>
      <c r="K8" t="s">
        <v>17</v>
      </c>
      <c r="L8">
        <v>5</v>
      </c>
    </row>
    <row r="9" spans="1:12" x14ac:dyDescent="0.3">
      <c r="A9" s="1">
        <v>45231</v>
      </c>
      <c r="B9" t="s">
        <v>24</v>
      </c>
      <c r="C9">
        <v>2000</v>
      </c>
      <c r="D9">
        <v>1328.57142857143</v>
      </c>
      <c r="E9">
        <v>4428.5714285714303</v>
      </c>
      <c r="F9">
        <v>90</v>
      </c>
      <c r="G9">
        <v>0.92</v>
      </c>
      <c r="H9">
        <v>0.99</v>
      </c>
      <c r="I9">
        <v>0.74</v>
      </c>
      <c r="J9" t="s">
        <v>19</v>
      </c>
      <c r="K9" t="s">
        <v>17</v>
      </c>
      <c r="L9">
        <v>6</v>
      </c>
    </row>
    <row r="10" spans="1:12" x14ac:dyDescent="0.3">
      <c r="A10" s="1">
        <v>45232</v>
      </c>
      <c r="B10" t="s">
        <v>24</v>
      </c>
      <c r="C10">
        <v>1431</v>
      </c>
      <c r="D10">
        <v>1328.57142857143</v>
      </c>
      <c r="E10">
        <v>4428.5714285714303</v>
      </c>
      <c r="F10">
        <v>30</v>
      </c>
      <c r="G10">
        <v>0.7</v>
      </c>
      <c r="H10">
        <v>0.99</v>
      </c>
      <c r="I10">
        <v>0.95</v>
      </c>
      <c r="J10" t="s">
        <v>19</v>
      </c>
      <c r="K10" t="s">
        <v>23</v>
      </c>
      <c r="L10">
        <v>8</v>
      </c>
    </row>
    <row r="11" spans="1:12" x14ac:dyDescent="0.3">
      <c r="A11" s="1">
        <v>45233</v>
      </c>
      <c r="B11" t="s">
        <v>15</v>
      </c>
      <c r="C11">
        <v>3000</v>
      </c>
      <c r="D11">
        <v>1328.57142857143</v>
      </c>
      <c r="E11">
        <v>4428.5714285714303</v>
      </c>
      <c r="F11">
        <v>15</v>
      </c>
      <c r="G11">
        <v>0.91</v>
      </c>
      <c r="H11">
        <v>0.98</v>
      </c>
      <c r="I11">
        <v>0.89</v>
      </c>
      <c r="J11" t="s">
        <v>19</v>
      </c>
      <c r="K11" t="s">
        <v>23</v>
      </c>
      <c r="L11">
        <v>4</v>
      </c>
    </row>
    <row r="12" spans="1:12" x14ac:dyDescent="0.3">
      <c r="A12" s="1">
        <v>45060</v>
      </c>
      <c r="B12" t="s">
        <v>15</v>
      </c>
      <c r="C12">
        <v>4000</v>
      </c>
      <c r="D12">
        <v>1328.57142857143</v>
      </c>
      <c r="E12">
        <v>4428.5714285714303</v>
      </c>
      <c r="F12">
        <v>40</v>
      </c>
      <c r="G12">
        <v>0.74</v>
      </c>
      <c r="H12">
        <v>0.85</v>
      </c>
      <c r="I12">
        <v>0.7</v>
      </c>
      <c r="J12" t="s">
        <v>19</v>
      </c>
      <c r="K12" t="s">
        <v>14</v>
      </c>
      <c r="L12">
        <v>3</v>
      </c>
    </row>
    <row r="13" spans="1:12" x14ac:dyDescent="0.3">
      <c r="A13" s="1">
        <v>45225</v>
      </c>
      <c r="B13" t="s">
        <v>12</v>
      </c>
      <c r="C13">
        <v>1000</v>
      </c>
      <c r="D13">
        <v>1328.57142857143</v>
      </c>
      <c r="E13">
        <v>4428.5714285714303</v>
      </c>
      <c r="F13">
        <v>100</v>
      </c>
      <c r="G13">
        <v>0.9</v>
      </c>
      <c r="H13">
        <v>0.9</v>
      </c>
      <c r="I13">
        <v>0.72</v>
      </c>
      <c r="J13" t="s">
        <v>19</v>
      </c>
      <c r="K13" t="s">
        <v>17</v>
      </c>
      <c r="L13">
        <v>2</v>
      </c>
    </row>
    <row r="14" spans="1:12" x14ac:dyDescent="0.3">
      <c r="A14" s="1">
        <v>44995</v>
      </c>
      <c r="B14" t="s">
        <v>12</v>
      </c>
      <c r="C14">
        <v>2000</v>
      </c>
      <c r="D14">
        <v>1328.57142857143</v>
      </c>
      <c r="E14">
        <v>4428.5714285714303</v>
      </c>
      <c r="F14">
        <v>15</v>
      </c>
      <c r="G14">
        <v>0.95</v>
      </c>
      <c r="H14">
        <v>0.97</v>
      </c>
      <c r="I14">
        <v>0.81</v>
      </c>
      <c r="J14" t="s">
        <v>19</v>
      </c>
      <c r="K14" t="s">
        <v>20</v>
      </c>
      <c r="L14">
        <v>7</v>
      </c>
    </row>
    <row r="15" spans="1:12" x14ac:dyDescent="0.3">
      <c r="A15" s="1">
        <v>45044</v>
      </c>
      <c r="B15" t="s">
        <v>18</v>
      </c>
      <c r="C15">
        <v>2000</v>
      </c>
      <c r="D15">
        <v>1328.57142857143</v>
      </c>
      <c r="E15">
        <v>4428.5714285714303</v>
      </c>
      <c r="F15">
        <v>20</v>
      </c>
      <c r="G15">
        <v>0.99</v>
      </c>
      <c r="H15">
        <v>0.79</v>
      </c>
      <c r="I15">
        <v>0.75</v>
      </c>
      <c r="J15" t="s">
        <v>19</v>
      </c>
      <c r="K15" t="s">
        <v>23</v>
      </c>
      <c r="L15">
        <v>9</v>
      </c>
    </row>
    <row r="16" spans="1:12" x14ac:dyDescent="0.3">
      <c r="A16" s="1">
        <v>45218</v>
      </c>
      <c r="B16" t="s">
        <v>18</v>
      </c>
      <c r="C16">
        <v>4000</v>
      </c>
      <c r="D16">
        <v>1328.57142857143</v>
      </c>
      <c r="E16">
        <v>1428.57142857143</v>
      </c>
      <c r="F16">
        <v>45</v>
      </c>
      <c r="G16">
        <v>0.86</v>
      </c>
      <c r="H16">
        <v>0.97</v>
      </c>
      <c r="I16">
        <v>0.89</v>
      </c>
      <c r="J16" t="s">
        <v>13</v>
      </c>
      <c r="K16" t="s">
        <v>25</v>
      </c>
      <c r="L16">
        <v>5</v>
      </c>
    </row>
    <row r="17" spans="1:12" x14ac:dyDescent="0.3">
      <c r="A17" s="1">
        <v>45160</v>
      </c>
      <c r="B17" t="s">
        <v>12</v>
      </c>
      <c r="C17">
        <v>6000</v>
      </c>
      <c r="D17">
        <v>1328.57142857143</v>
      </c>
      <c r="E17">
        <v>1428.57142857143</v>
      </c>
      <c r="F17">
        <v>43</v>
      </c>
      <c r="G17">
        <v>0.83</v>
      </c>
      <c r="H17">
        <v>0.72</v>
      </c>
      <c r="I17">
        <v>0.74</v>
      </c>
      <c r="J17" t="s">
        <v>16</v>
      </c>
      <c r="K17" t="s">
        <v>14</v>
      </c>
      <c r="L17">
        <v>6</v>
      </c>
    </row>
    <row r="18" spans="1:12" x14ac:dyDescent="0.3">
      <c r="A18" s="1">
        <v>45147</v>
      </c>
      <c r="B18" t="s">
        <v>15</v>
      </c>
      <c r="C18">
        <v>6500</v>
      </c>
      <c r="D18">
        <v>1328.57142857143</v>
      </c>
      <c r="E18">
        <v>1428.57142857143</v>
      </c>
      <c r="F18">
        <v>43</v>
      </c>
      <c r="G18">
        <v>0.74</v>
      </c>
      <c r="H18">
        <v>0.78</v>
      </c>
      <c r="I18">
        <v>0.94</v>
      </c>
      <c r="J18" t="s">
        <v>19</v>
      </c>
      <c r="K18" t="s">
        <v>17</v>
      </c>
      <c r="L18">
        <v>8</v>
      </c>
    </row>
    <row r="19" spans="1:12" x14ac:dyDescent="0.3">
      <c r="A19" s="1">
        <v>45078</v>
      </c>
      <c r="B19" t="s">
        <v>24</v>
      </c>
      <c r="C19">
        <v>1200</v>
      </c>
      <c r="D19">
        <v>1328.57142857143</v>
      </c>
      <c r="E19">
        <v>1428.57142857143</v>
      </c>
      <c r="F19">
        <v>43</v>
      </c>
      <c r="G19">
        <v>0.8</v>
      </c>
      <c r="H19">
        <v>0.84</v>
      </c>
      <c r="I19">
        <v>0.81</v>
      </c>
      <c r="J19" t="s">
        <v>21</v>
      </c>
      <c r="K19" t="s">
        <v>17</v>
      </c>
      <c r="L19">
        <v>4</v>
      </c>
    </row>
    <row r="20" spans="1:12" x14ac:dyDescent="0.3">
      <c r="A20" s="1">
        <v>44986</v>
      </c>
      <c r="B20" t="s">
        <v>24</v>
      </c>
      <c r="C20">
        <v>3000</v>
      </c>
      <c r="D20">
        <v>1328.57142857143</v>
      </c>
      <c r="E20">
        <v>1428.5714285714287</v>
      </c>
      <c r="F20">
        <v>43</v>
      </c>
      <c r="G20">
        <v>0.89</v>
      </c>
      <c r="H20">
        <v>0.99</v>
      </c>
      <c r="I20">
        <v>0.97</v>
      </c>
      <c r="J20" t="s">
        <v>13</v>
      </c>
      <c r="K20" t="s">
        <v>14</v>
      </c>
      <c r="L20">
        <v>3</v>
      </c>
    </row>
    <row r="21" spans="1:12" x14ac:dyDescent="0.3">
      <c r="A21" s="1">
        <v>45257</v>
      </c>
      <c r="B21" t="s">
        <v>24</v>
      </c>
      <c r="C21">
        <v>2000</v>
      </c>
      <c r="D21">
        <v>1328.57142857143</v>
      </c>
      <c r="E21">
        <v>1428.5714285714287</v>
      </c>
      <c r="F21">
        <v>40</v>
      </c>
      <c r="G21">
        <v>0.71</v>
      </c>
      <c r="H21">
        <v>0.87</v>
      </c>
      <c r="I21">
        <v>0.94</v>
      </c>
      <c r="J21" t="s">
        <v>16</v>
      </c>
      <c r="K21" t="s">
        <v>25</v>
      </c>
      <c r="L21">
        <v>2</v>
      </c>
    </row>
    <row r="22" spans="1:12" x14ac:dyDescent="0.3">
      <c r="A22" s="1">
        <v>45213</v>
      </c>
      <c r="B22" t="s">
        <v>24</v>
      </c>
      <c r="C22">
        <v>2000</v>
      </c>
      <c r="D22">
        <v>1328.57142857143</v>
      </c>
      <c r="E22">
        <v>1428.5714285714287</v>
      </c>
      <c r="F22">
        <v>43</v>
      </c>
      <c r="G22">
        <v>0.9</v>
      </c>
      <c r="H22">
        <v>0.72</v>
      </c>
      <c r="I22">
        <v>0.94</v>
      </c>
      <c r="J22" t="s">
        <v>19</v>
      </c>
      <c r="K22" t="s">
        <v>14</v>
      </c>
      <c r="L22">
        <v>7</v>
      </c>
    </row>
    <row r="23" spans="1:12" x14ac:dyDescent="0.3">
      <c r="A23" s="1">
        <v>45098</v>
      </c>
      <c r="B23" t="s">
        <v>12</v>
      </c>
      <c r="C23">
        <v>3000</v>
      </c>
      <c r="D23">
        <v>5214.2857142857101</v>
      </c>
      <c r="E23">
        <v>6714.2857142857101</v>
      </c>
      <c r="F23">
        <v>100</v>
      </c>
      <c r="G23">
        <v>0.89</v>
      </c>
      <c r="H23">
        <v>0.85</v>
      </c>
      <c r="I23">
        <v>0.87</v>
      </c>
      <c r="J23" t="s">
        <v>21</v>
      </c>
      <c r="K23" t="s">
        <v>17</v>
      </c>
      <c r="L23">
        <v>9</v>
      </c>
    </row>
    <row r="24" spans="1:12" x14ac:dyDescent="0.3">
      <c r="A24" s="1">
        <v>45130</v>
      </c>
      <c r="B24" t="s">
        <v>18</v>
      </c>
      <c r="C24">
        <v>4500</v>
      </c>
      <c r="D24">
        <v>5214.2857142857101</v>
      </c>
      <c r="E24">
        <v>6714.2857142857101</v>
      </c>
      <c r="F24">
        <v>100</v>
      </c>
      <c r="G24">
        <v>0.89</v>
      </c>
      <c r="H24">
        <v>0.8</v>
      </c>
      <c r="I24">
        <v>0.88</v>
      </c>
      <c r="J24" t="s">
        <v>13</v>
      </c>
      <c r="K24" t="s">
        <v>20</v>
      </c>
      <c r="L24">
        <v>5</v>
      </c>
    </row>
    <row r="25" spans="1:12" x14ac:dyDescent="0.3">
      <c r="A25" s="1">
        <v>45127</v>
      </c>
      <c r="B25" t="s">
        <v>12</v>
      </c>
      <c r="C25">
        <v>5500</v>
      </c>
      <c r="D25">
        <v>1214.2857142857099</v>
      </c>
      <c r="E25">
        <v>6714.2857142857101</v>
      </c>
      <c r="F25">
        <v>100</v>
      </c>
      <c r="G25">
        <v>0.98</v>
      </c>
      <c r="H25">
        <v>0.99</v>
      </c>
      <c r="I25">
        <v>0.81</v>
      </c>
      <c r="J25" t="s">
        <v>19</v>
      </c>
      <c r="K25" t="s">
        <v>14</v>
      </c>
      <c r="L25">
        <v>6</v>
      </c>
    </row>
    <row r="26" spans="1:12" x14ac:dyDescent="0.3">
      <c r="A26" s="1">
        <v>45129</v>
      </c>
      <c r="B26" t="s">
        <v>15</v>
      </c>
      <c r="C26">
        <v>1000</v>
      </c>
      <c r="D26">
        <v>5214.2857142857101</v>
      </c>
      <c r="E26">
        <v>6714.2857142857101</v>
      </c>
      <c r="F26">
        <v>100</v>
      </c>
      <c r="G26">
        <v>0.81</v>
      </c>
      <c r="H26">
        <v>0.91</v>
      </c>
      <c r="I26">
        <v>0.95</v>
      </c>
      <c r="J26" t="s">
        <v>21</v>
      </c>
      <c r="K26" t="s">
        <v>25</v>
      </c>
      <c r="L26">
        <v>8</v>
      </c>
    </row>
    <row r="27" spans="1:12" x14ac:dyDescent="0.3">
      <c r="A27" s="1">
        <v>45018</v>
      </c>
      <c r="B27" t="s">
        <v>12</v>
      </c>
      <c r="C27">
        <v>2000</v>
      </c>
      <c r="D27">
        <v>5214.2857142857101</v>
      </c>
      <c r="E27">
        <v>6714.2857142857101</v>
      </c>
      <c r="F27">
        <v>100</v>
      </c>
      <c r="G27">
        <v>0.97</v>
      </c>
      <c r="H27">
        <v>0.85</v>
      </c>
      <c r="I27">
        <v>0.85</v>
      </c>
      <c r="J27" t="s">
        <v>13</v>
      </c>
      <c r="K27" t="s">
        <v>14</v>
      </c>
      <c r="L27">
        <v>4</v>
      </c>
    </row>
    <row r="28" spans="1:12" x14ac:dyDescent="0.3">
      <c r="A28" s="1">
        <v>44979</v>
      </c>
      <c r="B28" t="s">
        <v>12</v>
      </c>
      <c r="C28">
        <v>2000</v>
      </c>
      <c r="D28">
        <v>5214.2857142857101</v>
      </c>
      <c r="E28">
        <v>6714.2857142857101</v>
      </c>
      <c r="F28">
        <v>100</v>
      </c>
      <c r="G28">
        <v>0.89</v>
      </c>
      <c r="H28">
        <v>0.94</v>
      </c>
      <c r="I28">
        <v>0.8</v>
      </c>
      <c r="J28" t="s">
        <v>16</v>
      </c>
      <c r="K28" t="s">
        <v>14</v>
      </c>
      <c r="L28">
        <v>3</v>
      </c>
    </row>
    <row r="29" spans="1:12" x14ac:dyDescent="0.3">
      <c r="A29" s="1">
        <v>45179</v>
      </c>
      <c r="B29" t="s">
        <v>12</v>
      </c>
      <c r="C29">
        <v>2000</v>
      </c>
      <c r="D29">
        <v>5214.2857142857101</v>
      </c>
      <c r="E29">
        <v>6714.2857142857101</v>
      </c>
      <c r="F29">
        <v>100</v>
      </c>
      <c r="G29">
        <v>0.88</v>
      </c>
      <c r="H29">
        <v>0.94</v>
      </c>
      <c r="I29">
        <v>0.7</v>
      </c>
      <c r="J29" t="s">
        <v>19</v>
      </c>
      <c r="K29" t="s">
        <v>20</v>
      </c>
      <c r="L29">
        <v>2</v>
      </c>
    </row>
    <row r="30" spans="1:12" x14ac:dyDescent="0.3">
      <c r="A30" s="1">
        <v>45275</v>
      </c>
      <c r="B30" t="s">
        <v>12</v>
      </c>
      <c r="C30">
        <v>2000</v>
      </c>
      <c r="D30">
        <v>2957.1428571428601</v>
      </c>
      <c r="E30">
        <v>2857.1428571428573</v>
      </c>
      <c r="F30">
        <v>90</v>
      </c>
      <c r="G30">
        <v>0.75</v>
      </c>
      <c r="H30">
        <v>0.77</v>
      </c>
      <c r="I30">
        <v>0.84</v>
      </c>
      <c r="J30" t="s">
        <v>21</v>
      </c>
      <c r="K30" t="s">
        <v>23</v>
      </c>
      <c r="L30">
        <v>7</v>
      </c>
    </row>
    <row r="31" spans="1:12" x14ac:dyDescent="0.3">
      <c r="A31" s="1">
        <v>44997</v>
      </c>
      <c r="B31" t="s">
        <v>12</v>
      </c>
      <c r="C31">
        <v>1700</v>
      </c>
      <c r="D31">
        <v>2957.1428571428601</v>
      </c>
      <c r="E31">
        <v>2857.1428571428573</v>
      </c>
      <c r="F31">
        <v>80</v>
      </c>
      <c r="G31">
        <v>0.73</v>
      </c>
      <c r="H31">
        <v>0.96</v>
      </c>
      <c r="I31">
        <v>0.93</v>
      </c>
      <c r="J31" t="s">
        <v>21</v>
      </c>
      <c r="K31" t="s">
        <v>25</v>
      </c>
      <c r="L31">
        <v>4</v>
      </c>
    </row>
    <row r="32" spans="1:12" x14ac:dyDescent="0.3">
      <c r="A32" s="1">
        <v>45179</v>
      </c>
      <c r="B32" t="s">
        <v>12</v>
      </c>
      <c r="C32">
        <v>1600</v>
      </c>
      <c r="D32">
        <v>2957.1428571428601</v>
      </c>
      <c r="E32">
        <v>2857.1428571428573</v>
      </c>
      <c r="F32">
        <v>90</v>
      </c>
      <c r="G32">
        <v>0.93</v>
      </c>
      <c r="H32">
        <v>0.74</v>
      </c>
      <c r="I32">
        <v>0.93</v>
      </c>
      <c r="J32" t="s">
        <v>19</v>
      </c>
      <c r="K32" t="s">
        <v>14</v>
      </c>
      <c r="L32">
        <v>5</v>
      </c>
    </row>
    <row r="33" spans="1:12" x14ac:dyDescent="0.3">
      <c r="A33" s="1">
        <v>44928</v>
      </c>
      <c r="B33" t="s">
        <v>15</v>
      </c>
      <c r="C33">
        <v>1200</v>
      </c>
      <c r="D33">
        <v>2957.1428571428601</v>
      </c>
      <c r="E33">
        <v>2857.1428571428573</v>
      </c>
      <c r="F33">
        <v>110</v>
      </c>
      <c r="G33">
        <v>0.85</v>
      </c>
      <c r="H33">
        <v>0.7</v>
      </c>
      <c r="I33">
        <v>0.99</v>
      </c>
      <c r="J33" t="s">
        <v>21</v>
      </c>
      <c r="K33" t="s">
        <v>17</v>
      </c>
      <c r="L33">
        <v>6</v>
      </c>
    </row>
    <row r="34" spans="1:12" x14ac:dyDescent="0.3">
      <c r="A34" s="1">
        <v>45227</v>
      </c>
      <c r="B34" t="s">
        <v>18</v>
      </c>
      <c r="C34">
        <v>2500</v>
      </c>
      <c r="D34">
        <v>2957.1428571428601</v>
      </c>
      <c r="E34">
        <v>2857.1428571428573</v>
      </c>
      <c r="F34">
        <v>90</v>
      </c>
      <c r="G34">
        <v>0.92</v>
      </c>
      <c r="H34">
        <v>0.99</v>
      </c>
      <c r="I34">
        <v>0.88</v>
      </c>
      <c r="J34" t="s">
        <v>13</v>
      </c>
      <c r="K34" t="s">
        <v>20</v>
      </c>
      <c r="L34">
        <v>8</v>
      </c>
    </row>
    <row r="35" spans="1:12" x14ac:dyDescent="0.3">
      <c r="A35" s="1">
        <v>45103</v>
      </c>
      <c r="B35" t="s">
        <v>18</v>
      </c>
      <c r="C35">
        <v>2100</v>
      </c>
      <c r="D35">
        <v>2957.1428571428601</v>
      </c>
      <c r="E35">
        <v>2857.1428571428573</v>
      </c>
      <c r="F35">
        <v>100</v>
      </c>
      <c r="G35">
        <v>0.75</v>
      </c>
      <c r="H35">
        <v>0.97</v>
      </c>
      <c r="I35">
        <v>0.83</v>
      </c>
      <c r="J35" t="s">
        <v>16</v>
      </c>
      <c r="K35" t="s">
        <v>23</v>
      </c>
      <c r="L35">
        <v>4</v>
      </c>
    </row>
    <row r="36" spans="1:12" x14ac:dyDescent="0.3">
      <c r="A36" s="1">
        <v>45243</v>
      </c>
      <c r="B36" t="s">
        <v>18</v>
      </c>
      <c r="C36">
        <v>2150</v>
      </c>
      <c r="D36">
        <v>2957.1428571428601</v>
      </c>
      <c r="E36">
        <v>2857.1428571428573</v>
      </c>
      <c r="F36">
        <v>90</v>
      </c>
      <c r="G36">
        <v>0.77</v>
      </c>
      <c r="H36">
        <v>0.97</v>
      </c>
      <c r="I36">
        <v>0.78</v>
      </c>
      <c r="J36" t="s">
        <v>13</v>
      </c>
      <c r="K36" t="s">
        <v>25</v>
      </c>
      <c r="L36">
        <v>3</v>
      </c>
    </row>
    <row r="37" spans="1:12" x14ac:dyDescent="0.3">
      <c r="A37" s="1">
        <v>45107</v>
      </c>
      <c r="B37" t="s">
        <v>18</v>
      </c>
      <c r="C37">
        <v>2200</v>
      </c>
      <c r="D37">
        <v>757.142857142857</v>
      </c>
      <c r="E37">
        <v>857.14285714285711</v>
      </c>
      <c r="F37">
        <v>228</v>
      </c>
      <c r="G37">
        <v>0.79</v>
      </c>
      <c r="H37">
        <v>0.75</v>
      </c>
      <c r="I37">
        <v>0.93</v>
      </c>
      <c r="J37" t="s">
        <v>16</v>
      </c>
      <c r="K37" t="s">
        <v>14</v>
      </c>
      <c r="L37">
        <v>2</v>
      </c>
    </row>
    <row r="38" spans="1:12" x14ac:dyDescent="0.3">
      <c r="A38" s="1">
        <v>45030</v>
      </c>
      <c r="B38" t="s">
        <v>15</v>
      </c>
      <c r="C38">
        <v>1800</v>
      </c>
      <c r="D38">
        <v>757.142857142857</v>
      </c>
      <c r="E38">
        <v>857.14285714285711</v>
      </c>
      <c r="F38">
        <v>220</v>
      </c>
      <c r="G38">
        <v>0.81</v>
      </c>
      <c r="H38">
        <v>0.98</v>
      </c>
      <c r="I38">
        <v>0.86</v>
      </c>
      <c r="J38" t="s">
        <v>19</v>
      </c>
      <c r="K38" t="s">
        <v>17</v>
      </c>
      <c r="L38">
        <v>7</v>
      </c>
    </row>
    <row r="39" spans="1:12" x14ac:dyDescent="0.3">
      <c r="A39" s="1">
        <v>45266</v>
      </c>
      <c r="B39" t="s">
        <v>24</v>
      </c>
      <c r="C39">
        <v>1800</v>
      </c>
      <c r="D39">
        <v>757.142857142857</v>
      </c>
      <c r="E39">
        <v>857.14285714285711</v>
      </c>
      <c r="F39">
        <v>228</v>
      </c>
      <c r="G39">
        <v>0.86</v>
      </c>
      <c r="H39">
        <v>0.82</v>
      </c>
      <c r="I39">
        <v>0.86</v>
      </c>
      <c r="J39" t="s">
        <v>21</v>
      </c>
      <c r="K39" t="s">
        <v>20</v>
      </c>
      <c r="L39">
        <v>9</v>
      </c>
    </row>
    <row r="40" spans="1:12" x14ac:dyDescent="0.3">
      <c r="A40" s="1">
        <v>45054</v>
      </c>
      <c r="B40" t="s">
        <v>12</v>
      </c>
      <c r="C40">
        <v>1414</v>
      </c>
      <c r="D40">
        <v>757.142857142857</v>
      </c>
      <c r="E40">
        <v>857.14285714285711</v>
      </c>
      <c r="F40">
        <v>238</v>
      </c>
      <c r="G40">
        <v>0.72</v>
      </c>
      <c r="H40">
        <v>0.95</v>
      </c>
      <c r="I40">
        <v>0.9</v>
      </c>
      <c r="J40" t="s">
        <v>22</v>
      </c>
      <c r="K40" t="s">
        <v>23</v>
      </c>
      <c r="L40">
        <v>5</v>
      </c>
    </row>
    <row r="41" spans="1:12" x14ac:dyDescent="0.3">
      <c r="A41" s="1">
        <v>45019</v>
      </c>
      <c r="B41" t="s">
        <v>18</v>
      </c>
      <c r="C41">
        <v>2100</v>
      </c>
      <c r="D41">
        <v>757.142857142857</v>
      </c>
      <c r="E41">
        <v>857.14285714285711</v>
      </c>
      <c r="F41">
        <v>228</v>
      </c>
      <c r="G41">
        <v>0.71</v>
      </c>
      <c r="H41">
        <v>0.8</v>
      </c>
      <c r="I41">
        <v>0.76</v>
      </c>
      <c r="J41" t="s">
        <v>22</v>
      </c>
      <c r="K41" t="s">
        <v>25</v>
      </c>
      <c r="L41">
        <v>5</v>
      </c>
    </row>
    <row r="42" spans="1:12" x14ac:dyDescent="0.3">
      <c r="A42" s="1">
        <v>45078</v>
      </c>
      <c r="B42" t="s">
        <v>18</v>
      </c>
      <c r="C42">
        <v>2500</v>
      </c>
      <c r="D42">
        <v>757.142857142857</v>
      </c>
      <c r="E42">
        <v>857.14285714285711</v>
      </c>
      <c r="F42">
        <v>230</v>
      </c>
      <c r="G42">
        <v>0.97</v>
      </c>
      <c r="H42">
        <v>0.95</v>
      </c>
      <c r="I42">
        <v>0.85</v>
      </c>
      <c r="J42" t="s">
        <v>22</v>
      </c>
      <c r="K42" t="s">
        <v>14</v>
      </c>
      <c r="L42">
        <v>8</v>
      </c>
    </row>
    <row r="43" spans="1:12" x14ac:dyDescent="0.3">
      <c r="A43" s="1">
        <v>45233</v>
      </c>
      <c r="B43" t="s">
        <v>24</v>
      </c>
      <c r="C43">
        <v>2200</v>
      </c>
      <c r="D43">
        <v>757.142857142857</v>
      </c>
      <c r="E43">
        <v>857.14285714285711</v>
      </c>
      <c r="F43">
        <v>228</v>
      </c>
      <c r="G43">
        <v>0.95</v>
      </c>
      <c r="H43">
        <v>0.85</v>
      </c>
      <c r="I43">
        <v>0.91</v>
      </c>
      <c r="J43" t="s">
        <v>19</v>
      </c>
      <c r="K43" t="s">
        <v>17</v>
      </c>
      <c r="L43">
        <v>4</v>
      </c>
    </row>
    <row r="44" spans="1:12" x14ac:dyDescent="0.3">
      <c r="A44" s="1">
        <v>45060</v>
      </c>
      <c r="B44" t="s">
        <v>12</v>
      </c>
      <c r="C44">
        <v>2500</v>
      </c>
      <c r="D44">
        <v>914.28571428571399</v>
      </c>
      <c r="E44">
        <v>714.28571428571433</v>
      </c>
      <c r="F44">
        <v>250</v>
      </c>
      <c r="G44">
        <v>0.97</v>
      </c>
      <c r="H44">
        <v>0.7</v>
      </c>
      <c r="I44">
        <v>0.93</v>
      </c>
      <c r="J44" t="s">
        <v>19</v>
      </c>
      <c r="K44" t="s">
        <v>20</v>
      </c>
      <c r="L44">
        <v>3</v>
      </c>
    </row>
    <row r="45" spans="1:12" x14ac:dyDescent="0.3">
      <c r="A45" s="1">
        <v>45225</v>
      </c>
      <c r="B45" t="s">
        <v>18</v>
      </c>
      <c r="C45">
        <v>2200</v>
      </c>
      <c r="D45">
        <v>914.28571428571399</v>
      </c>
      <c r="E45">
        <v>714.28571428571433</v>
      </c>
      <c r="F45">
        <v>240</v>
      </c>
      <c r="G45">
        <v>0.9</v>
      </c>
      <c r="H45">
        <v>0.98</v>
      </c>
      <c r="I45">
        <v>0.96</v>
      </c>
      <c r="J45" t="s">
        <v>19</v>
      </c>
      <c r="K45" t="s">
        <v>23</v>
      </c>
      <c r="L45">
        <v>2</v>
      </c>
    </row>
    <row r="46" spans="1:12" x14ac:dyDescent="0.3">
      <c r="A46" s="1">
        <v>45226</v>
      </c>
      <c r="B46" t="s">
        <v>12</v>
      </c>
      <c r="C46">
        <v>2500</v>
      </c>
      <c r="D46">
        <v>914.28571428571399</v>
      </c>
      <c r="E46">
        <v>714.28571428571433</v>
      </c>
      <c r="F46">
        <v>270</v>
      </c>
      <c r="G46">
        <v>0.9</v>
      </c>
      <c r="H46">
        <v>0.95</v>
      </c>
      <c r="I46">
        <v>0.98</v>
      </c>
      <c r="J46" t="s">
        <v>19</v>
      </c>
      <c r="K46" t="s">
        <v>25</v>
      </c>
      <c r="L46">
        <v>3</v>
      </c>
    </row>
    <row r="47" spans="1:12" x14ac:dyDescent="0.3">
      <c r="A47" s="1">
        <v>44954</v>
      </c>
      <c r="B47" t="s">
        <v>15</v>
      </c>
      <c r="C47">
        <v>2000</v>
      </c>
      <c r="D47">
        <v>914.28571428571399</v>
      </c>
      <c r="E47">
        <v>714.28571428571433</v>
      </c>
      <c r="F47">
        <v>259</v>
      </c>
      <c r="G47">
        <v>0.96</v>
      </c>
      <c r="H47">
        <v>0.81</v>
      </c>
      <c r="I47">
        <v>0.85</v>
      </c>
      <c r="J47" t="s">
        <v>19</v>
      </c>
      <c r="K47" t="s">
        <v>14</v>
      </c>
      <c r="L47">
        <v>9</v>
      </c>
    </row>
    <row r="48" spans="1:12" x14ac:dyDescent="0.3">
      <c r="A48" s="1">
        <v>44955</v>
      </c>
      <c r="B48" t="s">
        <v>15</v>
      </c>
      <c r="C48">
        <v>2500</v>
      </c>
      <c r="D48">
        <v>914.28571428571399</v>
      </c>
      <c r="E48">
        <v>714.28571428571433</v>
      </c>
      <c r="F48">
        <v>260</v>
      </c>
      <c r="G48">
        <v>0.98</v>
      </c>
      <c r="H48">
        <v>0.84</v>
      </c>
      <c r="I48">
        <v>0.89</v>
      </c>
      <c r="J48" t="s">
        <v>19</v>
      </c>
      <c r="K48" t="s">
        <v>14</v>
      </c>
      <c r="L48">
        <v>5</v>
      </c>
    </row>
    <row r="49" spans="1:12" x14ac:dyDescent="0.3">
      <c r="A49" s="1">
        <v>44956</v>
      </c>
      <c r="B49" t="s">
        <v>15</v>
      </c>
      <c r="C49">
        <v>2500</v>
      </c>
      <c r="D49">
        <v>914.28571428571399</v>
      </c>
      <c r="E49">
        <v>714.28571428571433</v>
      </c>
      <c r="F49">
        <v>260</v>
      </c>
      <c r="G49">
        <v>0.76</v>
      </c>
      <c r="H49">
        <v>0.7</v>
      </c>
      <c r="I49">
        <v>0.86</v>
      </c>
      <c r="J49" t="s">
        <v>19</v>
      </c>
      <c r="K49" t="s">
        <v>20</v>
      </c>
      <c r="L49">
        <v>6</v>
      </c>
    </row>
    <row r="50" spans="1:12" x14ac:dyDescent="0.3">
      <c r="A50" s="1">
        <v>44957</v>
      </c>
      <c r="B50" t="s">
        <v>12</v>
      </c>
      <c r="C50">
        <v>2500</v>
      </c>
      <c r="D50">
        <v>914.28571428571399</v>
      </c>
      <c r="E50">
        <v>714.28571428571433</v>
      </c>
      <c r="F50">
        <v>261</v>
      </c>
      <c r="G50">
        <v>0.91</v>
      </c>
      <c r="H50">
        <v>0.77</v>
      </c>
      <c r="I50">
        <v>0.75</v>
      </c>
      <c r="J50" t="s">
        <v>13</v>
      </c>
      <c r="K50" t="s">
        <v>23</v>
      </c>
      <c r="L50">
        <v>8</v>
      </c>
    </row>
    <row r="51" spans="1:12" x14ac:dyDescent="0.3">
      <c r="A51" s="1">
        <v>45231</v>
      </c>
      <c r="B51" t="s">
        <v>12</v>
      </c>
      <c r="C51">
        <v>2500</v>
      </c>
      <c r="D51">
        <v>914.28571428571399</v>
      </c>
      <c r="E51">
        <v>714.28571428571433</v>
      </c>
      <c r="F51">
        <v>242</v>
      </c>
      <c r="G51">
        <v>0.79</v>
      </c>
      <c r="H51">
        <v>0.81</v>
      </c>
      <c r="I51">
        <v>0.74</v>
      </c>
      <c r="J51" t="s">
        <v>16</v>
      </c>
      <c r="K51" t="s">
        <v>25</v>
      </c>
      <c r="L51">
        <v>4</v>
      </c>
    </row>
    <row r="52" spans="1:12" x14ac:dyDescent="0.3">
      <c r="A52" s="1">
        <v>45232</v>
      </c>
      <c r="B52" t="s">
        <v>12</v>
      </c>
      <c r="C52">
        <v>2250</v>
      </c>
      <c r="D52">
        <v>914.28571428571399</v>
      </c>
      <c r="E52">
        <v>714.28571428571433</v>
      </c>
      <c r="F52">
        <v>250</v>
      </c>
      <c r="G52">
        <v>0.85</v>
      </c>
      <c r="H52">
        <v>0.82</v>
      </c>
      <c r="I52">
        <v>0.73</v>
      </c>
      <c r="J52" t="s">
        <v>19</v>
      </c>
      <c r="K52" t="s">
        <v>14</v>
      </c>
      <c r="L52">
        <v>3</v>
      </c>
    </row>
    <row r="53" spans="1:12" x14ac:dyDescent="0.3">
      <c r="A53" s="1">
        <v>45233</v>
      </c>
      <c r="B53" t="s">
        <v>12</v>
      </c>
      <c r="C53">
        <v>2500</v>
      </c>
      <c r="D53">
        <v>914.28571428571399</v>
      </c>
      <c r="E53">
        <v>714.28571428571433</v>
      </c>
      <c r="F53">
        <v>242</v>
      </c>
      <c r="G53">
        <v>0.88</v>
      </c>
      <c r="H53">
        <v>0.84</v>
      </c>
      <c r="I53">
        <v>0.75</v>
      </c>
      <c r="J53" t="s">
        <v>21</v>
      </c>
      <c r="K53" t="s">
        <v>17</v>
      </c>
      <c r="L53">
        <v>2</v>
      </c>
    </row>
    <row r="54" spans="1:12" x14ac:dyDescent="0.3">
      <c r="A54" s="1">
        <v>45060</v>
      </c>
      <c r="B54" t="s">
        <v>12</v>
      </c>
      <c r="C54">
        <v>2500</v>
      </c>
      <c r="D54">
        <v>914.28571428571399</v>
      </c>
      <c r="E54">
        <v>714.28571428571433</v>
      </c>
      <c r="F54">
        <v>242</v>
      </c>
      <c r="G54">
        <v>0.81</v>
      </c>
      <c r="H54">
        <v>0.92</v>
      </c>
      <c r="I54">
        <v>0.91</v>
      </c>
      <c r="J54" t="s">
        <v>13</v>
      </c>
      <c r="K54" t="s">
        <v>20</v>
      </c>
      <c r="L54">
        <v>7</v>
      </c>
    </row>
    <row r="55" spans="1:12" x14ac:dyDescent="0.3">
      <c r="A55" s="1">
        <v>45225</v>
      </c>
      <c r="B55" t="s">
        <v>18</v>
      </c>
      <c r="C55">
        <v>2500</v>
      </c>
      <c r="D55">
        <v>914.28571428571399</v>
      </c>
      <c r="E55">
        <v>714.28571428571433</v>
      </c>
      <c r="F55">
        <v>242</v>
      </c>
      <c r="G55">
        <v>0.84</v>
      </c>
      <c r="H55">
        <v>0.73</v>
      </c>
      <c r="I55">
        <v>0.99</v>
      </c>
      <c r="J55" t="s">
        <v>16</v>
      </c>
      <c r="K55" t="s">
        <v>23</v>
      </c>
      <c r="L55">
        <v>9</v>
      </c>
    </row>
    <row r="56" spans="1:12" x14ac:dyDescent="0.3">
      <c r="A56" s="1">
        <v>44995</v>
      </c>
      <c r="B56" t="s">
        <v>18</v>
      </c>
      <c r="C56">
        <v>2500</v>
      </c>
      <c r="D56">
        <v>914.28571428571399</v>
      </c>
      <c r="E56">
        <v>714.28571428571433</v>
      </c>
      <c r="F56">
        <v>240</v>
      </c>
      <c r="G56">
        <v>0.93</v>
      </c>
      <c r="H56">
        <v>0.79</v>
      </c>
      <c r="I56">
        <v>0.72</v>
      </c>
      <c r="J56" t="s">
        <v>19</v>
      </c>
      <c r="K56" t="s">
        <v>25</v>
      </c>
      <c r="L56">
        <v>5</v>
      </c>
    </row>
    <row r="57" spans="1:12" x14ac:dyDescent="0.3">
      <c r="A57" s="1">
        <v>45044</v>
      </c>
      <c r="B57" t="s">
        <v>18</v>
      </c>
      <c r="C57">
        <v>2500</v>
      </c>
      <c r="D57">
        <v>914.28571428571399</v>
      </c>
      <c r="E57">
        <v>714.28571428571433</v>
      </c>
      <c r="F57">
        <v>242</v>
      </c>
      <c r="G57">
        <v>0.84</v>
      </c>
      <c r="H57">
        <v>0.79</v>
      </c>
      <c r="I57">
        <v>0.8</v>
      </c>
      <c r="J57" t="s">
        <v>21</v>
      </c>
      <c r="K57" t="s">
        <v>14</v>
      </c>
      <c r="L57">
        <v>6</v>
      </c>
    </row>
    <row r="58" spans="1:12" x14ac:dyDescent="0.3">
      <c r="A58" s="1">
        <v>44945</v>
      </c>
      <c r="B58" t="s">
        <v>18</v>
      </c>
      <c r="C58">
        <v>2200</v>
      </c>
      <c r="D58">
        <v>385.71428571428601</v>
      </c>
      <c r="E58">
        <v>285.71428571428572</v>
      </c>
      <c r="F58">
        <v>285</v>
      </c>
      <c r="G58">
        <v>0.85</v>
      </c>
      <c r="H58">
        <v>0.91</v>
      </c>
      <c r="I58">
        <v>0.84</v>
      </c>
      <c r="J58" t="s">
        <v>13</v>
      </c>
      <c r="K58" t="s">
        <v>17</v>
      </c>
      <c r="L58">
        <v>8</v>
      </c>
    </row>
    <row r="59" spans="1:12" x14ac:dyDescent="0.3">
      <c r="A59" s="1">
        <v>45160</v>
      </c>
      <c r="B59" t="s">
        <v>15</v>
      </c>
      <c r="C59">
        <v>2150</v>
      </c>
      <c r="D59">
        <v>385.71428571428601</v>
      </c>
      <c r="E59">
        <v>285.71428571428572</v>
      </c>
      <c r="F59">
        <v>275</v>
      </c>
      <c r="G59">
        <v>0.86</v>
      </c>
      <c r="H59">
        <v>0.75</v>
      </c>
      <c r="I59">
        <v>0.96</v>
      </c>
      <c r="J59" t="s">
        <v>19</v>
      </c>
      <c r="K59" t="s">
        <v>20</v>
      </c>
      <c r="L59">
        <v>4</v>
      </c>
    </row>
    <row r="60" spans="1:12" x14ac:dyDescent="0.3">
      <c r="A60" s="1">
        <v>45147</v>
      </c>
      <c r="B60" t="s">
        <v>24</v>
      </c>
      <c r="C60">
        <v>2400</v>
      </c>
      <c r="D60">
        <v>385.71428571428601</v>
      </c>
      <c r="E60">
        <v>285.71428571428572</v>
      </c>
      <c r="F60">
        <v>285</v>
      </c>
      <c r="G60">
        <v>0.96</v>
      </c>
      <c r="H60">
        <v>0.77</v>
      </c>
      <c r="I60">
        <v>0.92</v>
      </c>
      <c r="J60" t="s">
        <v>21</v>
      </c>
      <c r="K60" t="s">
        <v>23</v>
      </c>
      <c r="L60">
        <v>3</v>
      </c>
    </row>
    <row r="61" spans="1:12" x14ac:dyDescent="0.3">
      <c r="A61" s="1">
        <v>45078</v>
      </c>
      <c r="B61" t="s">
        <v>18</v>
      </c>
      <c r="C61">
        <v>2450</v>
      </c>
      <c r="D61">
        <v>385.71428571428601</v>
      </c>
      <c r="E61">
        <v>285.71428571428572</v>
      </c>
      <c r="F61">
        <v>290</v>
      </c>
      <c r="G61">
        <v>0.99</v>
      </c>
      <c r="H61">
        <v>0.97</v>
      </c>
      <c r="I61">
        <v>0.73</v>
      </c>
      <c r="J61" t="s">
        <v>13</v>
      </c>
      <c r="K61" t="s">
        <v>25</v>
      </c>
      <c r="L61">
        <v>2</v>
      </c>
    </row>
    <row r="62" spans="1:12" x14ac:dyDescent="0.3">
      <c r="A62" s="1">
        <v>44986</v>
      </c>
      <c r="B62" t="s">
        <v>15</v>
      </c>
      <c r="C62">
        <v>2500</v>
      </c>
      <c r="D62">
        <v>385.71428571428601</v>
      </c>
      <c r="E62">
        <v>285.71428571428572</v>
      </c>
      <c r="F62">
        <v>310</v>
      </c>
      <c r="G62">
        <v>0.77</v>
      </c>
      <c r="H62">
        <v>0.72</v>
      </c>
      <c r="I62">
        <v>0.85</v>
      </c>
      <c r="J62" t="s">
        <v>16</v>
      </c>
      <c r="K62" t="s">
        <v>14</v>
      </c>
      <c r="L62">
        <v>7</v>
      </c>
    </row>
    <row r="63" spans="1:12" x14ac:dyDescent="0.3">
      <c r="A63" s="1">
        <v>45257</v>
      </c>
      <c r="B63" t="s">
        <v>24</v>
      </c>
      <c r="C63">
        <v>2450</v>
      </c>
      <c r="D63">
        <v>385.71428571428601</v>
      </c>
      <c r="E63">
        <v>285.71428571428572</v>
      </c>
      <c r="F63">
        <v>270</v>
      </c>
      <c r="G63">
        <v>0.77</v>
      </c>
      <c r="H63">
        <v>0.96</v>
      </c>
      <c r="I63">
        <v>0.78</v>
      </c>
      <c r="J63" t="s">
        <v>19</v>
      </c>
      <c r="K63" t="s">
        <v>17</v>
      </c>
      <c r="L63">
        <v>9</v>
      </c>
    </row>
    <row r="64" spans="1:12" x14ac:dyDescent="0.3">
      <c r="A64" s="1">
        <v>45213</v>
      </c>
      <c r="B64" t="s">
        <v>18</v>
      </c>
      <c r="C64">
        <v>2400</v>
      </c>
      <c r="D64">
        <v>385.71428571428601</v>
      </c>
      <c r="E64">
        <v>285.71428571428572</v>
      </c>
      <c r="F64">
        <v>285</v>
      </c>
      <c r="G64">
        <v>0.78</v>
      </c>
      <c r="H64">
        <v>0.8</v>
      </c>
      <c r="I64">
        <v>0.85</v>
      </c>
      <c r="J64" t="s">
        <v>21</v>
      </c>
      <c r="K64" t="s">
        <v>20</v>
      </c>
      <c r="L64">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52BB9-BF37-465A-94AA-0EB6514DA726}">
  <dimension ref="A1"/>
  <sheetViews>
    <sheetView showGridLines="0" tabSelected="1" workbookViewId="0">
      <selection activeCell="D3" sqref="D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D4752-F05A-4CE8-B927-6FD6B4A0C311}">
  <dimension ref="A3:B9"/>
  <sheetViews>
    <sheetView workbookViewId="0">
      <selection activeCell="A6" sqref="A6"/>
    </sheetView>
  </sheetViews>
  <sheetFormatPr defaultRowHeight="14.4" x14ac:dyDescent="0.3"/>
  <cols>
    <col min="1" max="1" width="12.44140625" bestFit="1" customWidth="1"/>
    <col min="2" max="2" width="12" bestFit="1" customWidth="1"/>
  </cols>
  <sheetData>
    <row r="3" spans="1:2" x14ac:dyDescent="0.3">
      <c r="A3" s="2" t="s">
        <v>26</v>
      </c>
      <c r="B3" t="s">
        <v>29</v>
      </c>
    </row>
    <row r="4" spans="1:2" x14ac:dyDescent="0.3">
      <c r="A4" s="3" t="s">
        <v>34</v>
      </c>
      <c r="B4" s="4">
        <v>113300.85714285716</v>
      </c>
    </row>
    <row r="5" spans="1:2" x14ac:dyDescent="0.3">
      <c r="A5" s="5" t="s">
        <v>30</v>
      </c>
      <c r="B5" s="4">
        <v>28000.000000000007</v>
      </c>
    </row>
    <row r="6" spans="1:2" x14ac:dyDescent="0.3">
      <c r="A6" s="5" t="s">
        <v>31</v>
      </c>
      <c r="B6" s="4">
        <v>27242.857142857152</v>
      </c>
    </row>
    <row r="7" spans="1:2" x14ac:dyDescent="0.3">
      <c r="A7" s="5" t="s">
        <v>32</v>
      </c>
      <c r="B7" s="4">
        <v>23242.857142857134</v>
      </c>
    </row>
    <row r="8" spans="1:2" x14ac:dyDescent="0.3">
      <c r="A8" s="5" t="s">
        <v>33</v>
      </c>
      <c r="B8" s="4">
        <v>34815.142857142877</v>
      </c>
    </row>
    <row r="9" spans="1:2" x14ac:dyDescent="0.3">
      <c r="A9" s="3" t="s">
        <v>27</v>
      </c>
      <c r="B9" s="4">
        <v>113300.85714285716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CCAB0-F71B-4F31-AF8C-D49AB73747FE}">
  <dimension ref="A3:C9"/>
  <sheetViews>
    <sheetView workbookViewId="0">
      <selection activeCell="A3" sqref="A3"/>
    </sheetView>
  </sheetViews>
  <sheetFormatPr defaultRowHeight="14.4" x14ac:dyDescent="0.3"/>
  <cols>
    <col min="1" max="1" width="12.44140625" bestFit="1" customWidth="1"/>
    <col min="2" max="2" width="11.5546875" bestFit="1" customWidth="1"/>
    <col min="3" max="3" width="20.77734375" bestFit="1" customWidth="1"/>
    <col min="4" max="5" width="5" bestFit="1" customWidth="1"/>
    <col min="6" max="6" width="6" bestFit="1" customWidth="1"/>
    <col min="7" max="8" width="5" bestFit="1" customWidth="1"/>
    <col min="9" max="10" width="6" bestFit="1" customWidth="1"/>
    <col min="11" max="16" width="5" bestFit="1" customWidth="1"/>
    <col min="17" max="17" width="6" bestFit="1" customWidth="1"/>
    <col min="18" max="26" width="5" bestFit="1" customWidth="1"/>
    <col min="27" max="27" width="10.5546875" bestFit="1" customWidth="1"/>
  </cols>
  <sheetData>
    <row r="3" spans="1:3" x14ac:dyDescent="0.3">
      <c r="A3" s="2" t="s">
        <v>26</v>
      </c>
      <c r="B3" t="s">
        <v>28</v>
      </c>
      <c r="C3" t="s">
        <v>35</v>
      </c>
    </row>
    <row r="4" spans="1:3" x14ac:dyDescent="0.3">
      <c r="A4" s="3" t="s">
        <v>13</v>
      </c>
      <c r="B4" s="4">
        <v>30381</v>
      </c>
      <c r="C4" s="4">
        <v>1626</v>
      </c>
    </row>
    <row r="5" spans="1:3" x14ac:dyDescent="0.3">
      <c r="A5" s="3" t="s">
        <v>19</v>
      </c>
      <c r="B5" s="4">
        <v>63874</v>
      </c>
      <c r="C5" s="4">
        <v>3723</v>
      </c>
    </row>
    <row r="6" spans="1:3" x14ac:dyDescent="0.3">
      <c r="A6" s="3" t="s">
        <v>16</v>
      </c>
      <c r="B6" s="4">
        <v>25744</v>
      </c>
      <c r="C6" s="4">
        <v>1335</v>
      </c>
    </row>
    <row r="7" spans="1:3" x14ac:dyDescent="0.3">
      <c r="A7" s="3" t="s">
        <v>21</v>
      </c>
      <c r="B7" s="4">
        <v>23719</v>
      </c>
      <c r="C7" s="4">
        <v>1845</v>
      </c>
    </row>
    <row r="8" spans="1:3" x14ac:dyDescent="0.3">
      <c r="A8" s="3" t="s">
        <v>22</v>
      </c>
      <c r="B8" s="4">
        <v>13643</v>
      </c>
      <c r="C8" s="4">
        <v>831</v>
      </c>
    </row>
    <row r="9" spans="1:3" x14ac:dyDescent="0.3">
      <c r="A9" s="3" t="s">
        <v>27</v>
      </c>
      <c r="B9" s="4">
        <v>157361</v>
      </c>
      <c r="C9" s="4">
        <v>9360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FE260-44E6-4B88-B912-C4C5F6036D6C}">
  <dimension ref="A3:B9"/>
  <sheetViews>
    <sheetView topLeftCell="A16" workbookViewId="0">
      <selection activeCell="E16" sqref="E16"/>
    </sheetView>
  </sheetViews>
  <sheetFormatPr defaultRowHeight="14.4" x14ac:dyDescent="0.3"/>
  <cols>
    <col min="1" max="1" width="12.44140625" bestFit="1" customWidth="1"/>
    <col min="2" max="3" width="29.88671875" bestFit="1" customWidth="1"/>
  </cols>
  <sheetData>
    <row r="3" spans="1:2" x14ac:dyDescent="0.3">
      <c r="A3" s="2" t="s">
        <v>26</v>
      </c>
      <c r="B3" t="s">
        <v>36</v>
      </c>
    </row>
    <row r="4" spans="1:2" x14ac:dyDescent="0.3">
      <c r="A4" s="3" t="s">
        <v>25</v>
      </c>
      <c r="B4" s="4">
        <v>8.42</v>
      </c>
    </row>
    <row r="5" spans="1:2" x14ac:dyDescent="0.3">
      <c r="A5" s="3" t="s">
        <v>20</v>
      </c>
      <c r="B5" s="4">
        <v>9.4</v>
      </c>
    </row>
    <row r="6" spans="1:2" x14ac:dyDescent="0.3">
      <c r="A6" s="3" t="s">
        <v>17</v>
      </c>
      <c r="B6" s="4">
        <v>11</v>
      </c>
    </row>
    <row r="7" spans="1:2" x14ac:dyDescent="0.3">
      <c r="A7" s="3" t="s">
        <v>23</v>
      </c>
      <c r="B7" s="4">
        <v>9.48</v>
      </c>
    </row>
    <row r="8" spans="1:2" x14ac:dyDescent="0.3">
      <c r="A8" s="3" t="s">
        <v>14</v>
      </c>
      <c r="B8" s="4">
        <v>14.920000000000002</v>
      </c>
    </row>
    <row r="9" spans="1:2" x14ac:dyDescent="0.3">
      <c r="A9" s="3" t="s">
        <v>27</v>
      </c>
      <c r="B9" s="4">
        <v>53.22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working1</vt:lpstr>
      <vt:lpstr>Data</vt:lpstr>
      <vt:lpstr>dashboard</vt:lpstr>
      <vt:lpstr>working2</vt:lpstr>
      <vt:lpstr>working3</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Anandh Syam Kumar Murahari</cp:lastModifiedBy>
  <dcterms:created xsi:type="dcterms:W3CDTF">2025-01-31T08:22:50Z</dcterms:created>
  <dcterms:modified xsi:type="dcterms:W3CDTF">2026-06-29T10:00:29Z</dcterms:modified>
</cp:coreProperties>
</file>